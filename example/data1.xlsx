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Koding\tool-fcost\example\"/>
    </mc:Choice>
  </mc:AlternateContent>
  <xr:revisionPtr revIDLastSave="0" documentId="13_ncr:1_{D31DB793-4E09-4B4E-A54C-95F81F9C495E}" xr6:coauthVersionLast="47" xr6:coauthVersionMax="47" xr10:uidLastSave="{00000000-0000-0000-0000-000000000000}"/>
  <bookViews>
    <workbookView xWindow="-120" yWindow="-120" windowWidth="29040" windowHeight="15720" xr2:uid="{A4E5DBE5-9383-46F1-97DD-35BE1DD954AA}"/>
  </bookViews>
  <sheets>
    <sheet name="dat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8" i="1"/>
  <c r="F8" i="1"/>
  <c r="E8" i="1"/>
  <c r="D8" i="1"/>
  <c r="G7" i="1"/>
  <c r="F7" i="1"/>
  <c r="E7" i="1"/>
  <c r="D7" i="1"/>
  <c r="C7" i="1"/>
  <c r="C8" i="1" s="1"/>
  <c r="C9" i="1" s="1"/>
  <c r="G6" i="1"/>
  <c r="F6" i="1"/>
  <c r="E6" i="1"/>
  <c r="D6" i="1"/>
  <c r="C6" i="1"/>
  <c r="G5" i="1"/>
  <c r="F5" i="1"/>
  <c r="F9" i="1" s="1"/>
  <c r="E5" i="1"/>
  <c r="E9" i="1" s="1"/>
  <c r="D5" i="1"/>
  <c r="D9" i="1" s="1"/>
  <c r="C5" i="1"/>
</calcChain>
</file>

<file path=xl/sharedStrings.xml><?xml version="1.0" encoding="utf-8"?>
<sst xmlns="http://schemas.openxmlformats.org/spreadsheetml/2006/main" count="22" uniqueCount="18">
  <si>
    <t>Part Category: PANEL | MAIN_UNIT | POWER_UNIT | OTHER (all non-blank parts excluding the 3 main)</t>
  </si>
  <si>
    <t>PANEL</t>
  </si>
  <si>
    <t>OTHER</t>
  </si>
  <si>
    <t>Count</t>
  </si>
  <si>
    <t>GQS</t>
  </si>
  <si>
    <t>MAIN_UNIT</t>
  </si>
  <si>
    <t>POWER_UNIT</t>
  </si>
  <si>
    <t>GQS Total</t>
  </si>
  <si>
    <t>SASS</t>
  </si>
  <si>
    <t>SASS Total</t>
  </si>
  <si>
    <t>Grand Total</t>
  </si>
  <si>
    <t>Section</t>
  </si>
  <si>
    <t>Part Name</t>
  </si>
  <si>
    <t>Labor</t>
  </si>
  <si>
    <t>Transportation</t>
  </si>
  <si>
    <t>Part</t>
  </si>
  <si>
    <t>Total</t>
  </si>
  <si>
    <t>PART COST (3 Worst)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</si>
</sst>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i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FE699"/>
        <bgColor rgb="FFFFE699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rgb="FF1F38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rgb="FF1F3864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7" borderId="2" xfId="0" applyFont="1" applyFill="1" applyBorder="1"/>
    <xf numFmtId="0" fontId="1" fillId="2" borderId="2" xfId="0" applyFont="1" applyFill="1" applyBorder="1"/>
    <xf numFmtId="0" fontId="2" fillId="8" borderId="2" xfId="0" applyFont="1" applyFill="1" applyBorder="1"/>
    <xf numFmtId="0" fontId="1" fillId="7" borderId="4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5" fillId="0" borderId="0" xfId="0" applyFont="1"/>
    <xf numFmtId="3" fontId="1" fillId="7" borderId="4" xfId="0" applyNumberFormat="1" applyFont="1" applyFill="1" applyBorder="1" applyAlignment="1">
      <alignment horizontal="right"/>
    </xf>
    <xf numFmtId="3" fontId="1" fillId="2" borderId="2" xfId="0" applyNumberFormat="1" applyFont="1" applyFill="1" applyBorder="1" applyAlignment="1">
      <alignment horizontal="right"/>
    </xf>
    <xf numFmtId="3" fontId="1" fillId="7" borderId="2" xfId="0" applyNumberFormat="1" applyFont="1" applyFill="1" applyBorder="1" applyAlignment="1">
      <alignment horizontal="right"/>
    </xf>
    <xf numFmtId="3" fontId="2" fillId="8" borderId="2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righ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7" borderId="3" xfId="0" applyFont="1" applyFill="1" applyBorder="1" applyAlignment="1">
      <alignment horizontal="left" vertical="top"/>
    </xf>
    <xf numFmtId="0" fontId="1" fillId="7" borderId="4" xfId="0" applyFont="1" applyFill="1" applyBorder="1" applyAlignment="1">
      <alignment horizontal="left" vertical="top"/>
    </xf>
    <xf numFmtId="0" fontId="1" fillId="7" borderId="5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Koding\tool-fcost\outputs\Job_Summary_Result_20260501_221939.xlsx" TargetMode="External"/><Relationship Id="rId1" Type="http://schemas.openxmlformats.org/officeDocument/2006/relationships/externalLinkPath" Target="/Koding/tool-fcost/outputs/Job_Summary_Result_20260501_22193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"/>
      <sheetName val="data1"/>
      <sheetName val="data2"/>
      <sheetName val="data3a"/>
      <sheetName val="data3b"/>
      <sheetName val="data3c"/>
      <sheetName val="data4"/>
      <sheetName val="data5a"/>
      <sheetName val="data5b"/>
      <sheetName val="data6"/>
    </sheetNames>
    <sheetDataSet>
      <sheetData sheetId="0">
        <row r="4">
          <cell r="S4" t="str">
            <v>labor_cost</v>
          </cell>
          <cell r="T4" t="str">
            <v>transportation_cost</v>
          </cell>
          <cell r="U4" t="str">
            <v>parts_cost</v>
          </cell>
          <cell r="W4" t="str">
            <v>section</v>
          </cell>
          <cell r="Z4" t="str">
            <v>total_cost</v>
          </cell>
          <cell r="AB4" t="str">
            <v>part_name</v>
          </cell>
        </row>
        <row r="5">
          <cell r="S5">
            <v>43061</v>
          </cell>
          <cell r="T5">
            <v>0</v>
          </cell>
          <cell r="U5">
            <v>156656</v>
          </cell>
          <cell r="W5" t="str">
            <v>GQS</v>
          </cell>
          <cell r="Z5">
            <v>199717</v>
          </cell>
          <cell r="AB5" t="str">
            <v>TCON_UNIT</v>
          </cell>
        </row>
        <row r="6">
          <cell r="S6">
            <v>86122</v>
          </cell>
          <cell r="T6">
            <v>0</v>
          </cell>
          <cell r="U6">
            <v>662837</v>
          </cell>
          <cell r="W6" t="str">
            <v>GQS</v>
          </cell>
          <cell r="Z6">
            <v>748959</v>
          </cell>
          <cell r="AB6" t="str">
            <v>MAIN_UNIT</v>
          </cell>
        </row>
        <row r="7">
          <cell r="S7">
            <v>0</v>
          </cell>
          <cell r="T7">
            <v>0</v>
          </cell>
          <cell r="U7">
            <v>0</v>
          </cell>
          <cell r="W7" t="str">
            <v>GQS</v>
          </cell>
          <cell r="Z7">
            <v>0</v>
          </cell>
          <cell r="AB7" t="str">
            <v>LED_BAR</v>
          </cell>
        </row>
        <row r="8">
          <cell r="S8">
            <v>25837</v>
          </cell>
          <cell r="T8">
            <v>0</v>
          </cell>
          <cell r="U8">
            <v>0</v>
          </cell>
          <cell r="W8" t="str">
            <v>GQS</v>
          </cell>
          <cell r="Z8">
            <v>25837</v>
          </cell>
        </row>
        <row r="9">
          <cell r="S9">
            <v>43061</v>
          </cell>
          <cell r="T9">
            <v>0</v>
          </cell>
          <cell r="U9">
            <v>811923</v>
          </cell>
          <cell r="W9" t="str">
            <v>GQS</v>
          </cell>
          <cell r="Z9">
            <v>854984</v>
          </cell>
          <cell r="AB9" t="str">
            <v>PANEL</v>
          </cell>
        </row>
        <row r="10">
          <cell r="S10">
            <v>25837</v>
          </cell>
          <cell r="T10">
            <v>0</v>
          </cell>
          <cell r="U10">
            <v>0</v>
          </cell>
          <cell r="W10" t="str">
            <v>GQS</v>
          </cell>
          <cell r="Z10">
            <v>25837</v>
          </cell>
        </row>
        <row r="11">
          <cell r="S11">
            <v>43061</v>
          </cell>
          <cell r="T11">
            <v>0</v>
          </cell>
          <cell r="U11">
            <v>2278</v>
          </cell>
          <cell r="W11" t="str">
            <v>GQS</v>
          </cell>
          <cell r="Z11">
            <v>45339</v>
          </cell>
          <cell r="AB11" t="str">
            <v>SWITCH</v>
          </cell>
        </row>
        <row r="12">
          <cell r="S12">
            <v>34449</v>
          </cell>
          <cell r="T12">
            <v>0</v>
          </cell>
          <cell r="U12">
            <v>309082</v>
          </cell>
          <cell r="W12" t="str">
            <v>GQS</v>
          </cell>
          <cell r="Z12">
            <v>343531</v>
          </cell>
          <cell r="AB12" t="str">
            <v>MAIN_UNIT</v>
          </cell>
        </row>
        <row r="13">
          <cell r="S13">
            <v>0</v>
          </cell>
          <cell r="T13">
            <v>0</v>
          </cell>
          <cell r="U13">
            <v>0</v>
          </cell>
          <cell r="W13" t="str">
            <v>GQS</v>
          </cell>
          <cell r="Z13">
            <v>0</v>
          </cell>
          <cell r="AB13" t="str">
            <v>PART_KIT</v>
          </cell>
        </row>
        <row r="14">
          <cell r="S14">
            <v>0</v>
          </cell>
          <cell r="T14">
            <v>0</v>
          </cell>
          <cell r="U14">
            <v>0</v>
          </cell>
          <cell r="W14" t="str">
            <v>GQS</v>
          </cell>
          <cell r="Z14">
            <v>0</v>
          </cell>
          <cell r="AB14" t="str">
            <v>PART_KIT</v>
          </cell>
        </row>
        <row r="15">
          <cell r="S15">
            <v>0</v>
          </cell>
          <cell r="T15">
            <v>0</v>
          </cell>
          <cell r="U15">
            <v>0</v>
          </cell>
          <cell r="W15" t="str">
            <v>GQS</v>
          </cell>
          <cell r="Z15">
            <v>0</v>
          </cell>
          <cell r="AB15" t="str">
            <v>TCON_UNIT</v>
          </cell>
        </row>
        <row r="16">
          <cell r="S16">
            <v>43061</v>
          </cell>
          <cell r="T16">
            <v>0</v>
          </cell>
          <cell r="U16">
            <v>1820478</v>
          </cell>
          <cell r="W16" t="str">
            <v>GQS</v>
          </cell>
          <cell r="Z16">
            <v>1863539</v>
          </cell>
          <cell r="AB16" t="str">
            <v>PANEL</v>
          </cell>
        </row>
        <row r="17">
          <cell r="S17">
            <v>0</v>
          </cell>
          <cell r="T17">
            <v>0</v>
          </cell>
          <cell r="U17">
            <v>0</v>
          </cell>
          <cell r="W17" t="str">
            <v>GQS</v>
          </cell>
          <cell r="Z17">
            <v>0</v>
          </cell>
          <cell r="AB17" t="str">
            <v>LVDS_WIRE</v>
          </cell>
        </row>
        <row r="18">
          <cell r="S18">
            <v>43061</v>
          </cell>
          <cell r="T18">
            <v>0</v>
          </cell>
          <cell r="U18">
            <v>640839</v>
          </cell>
          <cell r="W18" t="str">
            <v>GQS</v>
          </cell>
          <cell r="Z18">
            <v>683900</v>
          </cell>
          <cell r="AB18" t="str">
            <v>PANEL</v>
          </cell>
        </row>
        <row r="19">
          <cell r="S19">
            <v>0</v>
          </cell>
          <cell r="T19">
            <v>0</v>
          </cell>
          <cell r="U19">
            <v>0</v>
          </cell>
          <cell r="W19" t="str">
            <v>GQS</v>
          </cell>
          <cell r="Z19">
            <v>0</v>
          </cell>
          <cell r="AB19" t="str">
            <v>TAPE</v>
          </cell>
        </row>
        <row r="20">
          <cell r="S20">
            <v>86122</v>
          </cell>
          <cell r="T20">
            <v>0</v>
          </cell>
          <cell r="U20">
            <v>409443</v>
          </cell>
          <cell r="W20" t="str">
            <v>GQS</v>
          </cell>
          <cell r="Z20">
            <v>495565</v>
          </cell>
          <cell r="AB20" t="str">
            <v>MAIN_UNIT</v>
          </cell>
        </row>
        <row r="21">
          <cell r="S21">
            <v>34449</v>
          </cell>
          <cell r="T21">
            <v>0</v>
          </cell>
          <cell r="U21">
            <v>969798</v>
          </cell>
          <cell r="W21" t="str">
            <v>GQS</v>
          </cell>
          <cell r="Z21">
            <v>1004247</v>
          </cell>
          <cell r="AB21" t="str">
            <v>PANEL</v>
          </cell>
        </row>
        <row r="22">
          <cell r="S22">
            <v>25837</v>
          </cell>
          <cell r="T22">
            <v>0</v>
          </cell>
          <cell r="U22">
            <v>113226</v>
          </cell>
          <cell r="W22" t="str">
            <v>GQS</v>
          </cell>
          <cell r="Z22">
            <v>139063</v>
          </cell>
          <cell r="AB22" t="str">
            <v>MAIN_UNIT</v>
          </cell>
        </row>
        <row r="23">
          <cell r="S23">
            <v>25837</v>
          </cell>
          <cell r="T23">
            <v>0</v>
          </cell>
          <cell r="U23">
            <v>0</v>
          </cell>
          <cell r="W23" t="str">
            <v>GQS</v>
          </cell>
          <cell r="Z23">
            <v>25837</v>
          </cell>
        </row>
        <row r="24">
          <cell r="S24">
            <v>25837</v>
          </cell>
          <cell r="T24">
            <v>0</v>
          </cell>
          <cell r="U24">
            <v>0</v>
          </cell>
          <cell r="W24" t="str">
            <v>GQS</v>
          </cell>
          <cell r="Z24">
            <v>25837</v>
          </cell>
        </row>
        <row r="25">
          <cell r="S25">
            <v>25837</v>
          </cell>
          <cell r="T25">
            <v>0</v>
          </cell>
          <cell r="U25">
            <v>0</v>
          </cell>
          <cell r="W25" t="str">
            <v>GQS</v>
          </cell>
          <cell r="Z25">
            <v>25837</v>
          </cell>
        </row>
        <row r="26">
          <cell r="S26">
            <v>25837</v>
          </cell>
          <cell r="T26">
            <v>0</v>
          </cell>
          <cell r="U26">
            <v>0</v>
          </cell>
          <cell r="W26" t="str">
            <v>GQS</v>
          </cell>
          <cell r="Z26">
            <v>25837</v>
          </cell>
        </row>
        <row r="27">
          <cell r="S27">
            <v>86122</v>
          </cell>
          <cell r="T27">
            <v>0</v>
          </cell>
          <cell r="U27">
            <v>95007</v>
          </cell>
          <cell r="W27" t="str">
            <v>GQS</v>
          </cell>
          <cell r="Z27">
            <v>181129</v>
          </cell>
          <cell r="AB27" t="str">
            <v>LED_BAR</v>
          </cell>
        </row>
        <row r="28">
          <cell r="S28">
            <v>0</v>
          </cell>
          <cell r="T28">
            <v>0</v>
          </cell>
          <cell r="U28">
            <v>0</v>
          </cell>
          <cell r="W28" t="str">
            <v>GQS</v>
          </cell>
          <cell r="Z28">
            <v>0</v>
          </cell>
          <cell r="AB28" t="str">
            <v>IC</v>
          </cell>
        </row>
        <row r="29">
          <cell r="S29">
            <v>43061</v>
          </cell>
          <cell r="T29">
            <v>0</v>
          </cell>
          <cell r="U29">
            <v>571944</v>
          </cell>
          <cell r="W29" t="str">
            <v>GQS</v>
          </cell>
          <cell r="Z29">
            <v>615005</v>
          </cell>
          <cell r="AB29" t="str">
            <v>PANEL</v>
          </cell>
        </row>
        <row r="30">
          <cell r="S30">
            <v>34449</v>
          </cell>
          <cell r="T30">
            <v>0</v>
          </cell>
          <cell r="U30">
            <v>550000</v>
          </cell>
          <cell r="W30" t="str">
            <v>GQS</v>
          </cell>
          <cell r="Z30">
            <v>584449</v>
          </cell>
          <cell r="AB30" t="str">
            <v>PANEL</v>
          </cell>
        </row>
        <row r="31">
          <cell r="S31">
            <v>25837</v>
          </cell>
          <cell r="T31">
            <v>0</v>
          </cell>
          <cell r="U31">
            <v>416880</v>
          </cell>
          <cell r="W31" t="str">
            <v>GQS</v>
          </cell>
          <cell r="Z31">
            <v>442717</v>
          </cell>
          <cell r="AB31" t="str">
            <v>MAIN_UNIT</v>
          </cell>
        </row>
        <row r="32">
          <cell r="S32">
            <v>86122</v>
          </cell>
          <cell r="T32">
            <v>0</v>
          </cell>
          <cell r="U32">
            <v>311150</v>
          </cell>
          <cell r="W32" t="str">
            <v>GQS</v>
          </cell>
          <cell r="Z32">
            <v>397272</v>
          </cell>
          <cell r="AB32" t="str">
            <v>POWER_UNIT</v>
          </cell>
        </row>
        <row r="33">
          <cell r="S33">
            <v>86122</v>
          </cell>
          <cell r="T33">
            <v>0</v>
          </cell>
          <cell r="U33">
            <v>170333</v>
          </cell>
          <cell r="W33" t="str">
            <v>GQS</v>
          </cell>
          <cell r="Z33">
            <v>256455</v>
          </cell>
          <cell r="AB33" t="str">
            <v>MAIN_UNIT</v>
          </cell>
        </row>
        <row r="34">
          <cell r="S34">
            <v>25837</v>
          </cell>
          <cell r="T34">
            <v>0</v>
          </cell>
          <cell r="U34">
            <v>571491</v>
          </cell>
          <cell r="W34" t="str">
            <v>GQS</v>
          </cell>
          <cell r="Z34">
            <v>597328</v>
          </cell>
          <cell r="AB34" t="str">
            <v>PANEL</v>
          </cell>
        </row>
        <row r="35">
          <cell r="S35">
            <v>43061</v>
          </cell>
          <cell r="T35">
            <v>0</v>
          </cell>
          <cell r="U35">
            <v>367125</v>
          </cell>
          <cell r="W35" t="str">
            <v>GQS</v>
          </cell>
          <cell r="Z35">
            <v>410186</v>
          </cell>
          <cell r="AB35" t="str">
            <v>PANEL</v>
          </cell>
        </row>
        <row r="36">
          <cell r="S36">
            <v>43061</v>
          </cell>
          <cell r="T36">
            <v>0</v>
          </cell>
          <cell r="U36">
            <v>522997</v>
          </cell>
          <cell r="W36" t="str">
            <v>GQS</v>
          </cell>
          <cell r="Z36">
            <v>566058</v>
          </cell>
          <cell r="AB36" t="str">
            <v>PANEL</v>
          </cell>
        </row>
        <row r="37">
          <cell r="S37">
            <v>17224</v>
          </cell>
          <cell r="T37">
            <v>0</v>
          </cell>
          <cell r="U37">
            <v>1053784</v>
          </cell>
          <cell r="W37" t="str">
            <v>GQS</v>
          </cell>
          <cell r="Z37">
            <v>1071008</v>
          </cell>
          <cell r="AB37" t="str">
            <v>MAIN_UNIT</v>
          </cell>
        </row>
        <row r="38">
          <cell r="S38">
            <v>43061</v>
          </cell>
          <cell r="T38">
            <v>0</v>
          </cell>
          <cell r="U38">
            <v>0</v>
          </cell>
          <cell r="W38" t="str">
            <v>GQS</v>
          </cell>
          <cell r="Z38">
            <v>43061</v>
          </cell>
        </row>
        <row r="39">
          <cell r="S39">
            <v>25837</v>
          </cell>
          <cell r="T39">
            <v>0</v>
          </cell>
          <cell r="U39">
            <v>447037</v>
          </cell>
          <cell r="W39" t="str">
            <v>GQS</v>
          </cell>
          <cell r="Z39">
            <v>472874</v>
          </cell>
          <cell r="AB39" t="str">
            <v>PART_KIT</v>
          </cell>
        </row>
        <row r="40">
          <cell r="S40">
            <v>43061</v>
          </cell>
          <cell r="T40">
            <v>0</v>
          </cell>
          <cell r="U40">
            <v>969798</v>
          </cell>
          <cell r="W40" t="str">
            <v>GQS</v>
          </cell>
          <cell r="Z40">
            <v>1012859</v>
          </cell>
          <cell r="AB40" t="str">
            <v>PANEL</v>
          </cell>
        </row>
        <row r="41">
          <cell r="S41">
            <v>43061</v>
          </cell>
          <cell r="T41">
            <v>0</v>
          </cell>
          <cell r="U41">
            <v>0</v>
          </cell>
          <cell r="W41" t="str">
            <v>GQS</v>
          </cell>
          <cell r="Z41">
            <v>43061</v>
          </cell>
        </row>
        <row r="42">
          <cell r="S42">
            <v>43061</v>
          </cell>
          <cell r="T42">
            <v>0</v>
          </cell>
          <cell r="U42">
            <v>969798</v>
          </cell>
          <cell r="W42" t="str">
            <v>GQS</v>
          </cell>
          <cell r="Z42">
            <v>1012859</v>
          </cell>
          <cell r="AB42" t="str">
            <v>PANEL</v>
          </cell>
        </row>
        <row r="43">
          <cell r="S43">
            <v>86122</v>
          </cell>
          <cell r="T43">
            <v>0</v>
          </cell>
          <cell r="U43">
            <v>1461724</v>
          </cell>
          <cell r="W43" t="str">
            <v>GQS</v>
          </cell>
          <cell r="Z43">
            <v>1547846</v>
          </cell>
          <cell r="AB43" t="str">
            <v>PANEL</v>
          </cell>
        </row>
        <row r="44">
          <cell r="S44">
            <v>43061</v>
          </cell>
          <cell r="T44">
            <v>0</v>
          </cell>
          <cell r="U44">
            <v>610637</v>
          </cell>
          <cell r="W44" t="str">
            <v>GQS</v>
          </cell>
          <cell r="Z44">
            <v>653698</v>
          </cell>
          <cell r="AB44" t="str">
            <v>MAIN_UNIT</v>
          </cell>
        </row>
        <row r="45">
          <cell r="S45">
            <v>0</v>
          </cell>
          <cell r="T45">
            <v>0</v>
          </cell>
          <cell r="U45">
            <v>0</v>
          </cell>
          <cell r="W45" t="str">
            <v>GQS</v>
          </cell>
          <cell r="Z45">
            <v>0</v>
          </cell>
          <cell r="AB45" t="str">
            <v>TAPE</v>
          </cell>
        </row>
        <row r="46">
          <cell r="S46">
            <v>60285</v>
          </cell>
          <cell r="T46">
            <v>0</v>
          </cell>
          <cell r="U46">
            <v>618894</v>
          </cell>
          <cell r="W46" t="str">
            <v>GQS</v>
          </cell>
          <cell r="Z46">
            <v>679179</v>
          </cell>
          <cell r="AB46" t="str">
            <v>PANEL</v>
          </cell>
        </row>
        <row r="47">
          <cell r="S47">
            <v>43061</v>
          </cell>
          <cell r="T47">
            <v>0</v>
          </cell>
          <cell r="U47">
            <v>0</v>
          </cell>
          <cell r="W47" t="str">
            <v>GQS</v>
          </cell>
          <cell r="Z47">
            <v>43061</v>
          </cell>
        </row>
        <row r="48">
          <cell r="S48">
            <v>34449</v>
          </cell>
          <cell r="T48">
            <v>0</v>
          </cell>
          <cell r="U48">
            <v>0</v>
          </cell>
          <cell r="W48" t="str">
            <v>GQS</v>
          </cell>
          <cell r="Z48">
            <v>34449</v>
          </cell>
        </row>
        <row r="49">
          <cell r="S49">
            <v>8612</v>
          </cell>
          <cell r="T49">
            <v>0</v>
          </cell>
          <cell r="U49">
            <v>0</v>
          </cell>
          <cell r="W49" t="str">
            <v>GQS</v>
          </cell>
          <cell r="Z49">
            <v>8612</v>
          </cell>
        </row>
        <row r="50">
          <cell r="S50">
            <v>17224</v>
          </cell>
          <cell r="T50">
            <v>0</v>
          </cell>
          <cell r="U50">
            <v>0</v>
          </cell>
          <cell r="W50" t="str">
            <v>GQS</v>
          </cell>
          <cell r="Z50">
            <v>17224</v>
          </cell>
        </row>
        <row r="51">
          <cell r="S51">
            <v>43061</v>
          </cell>
          <cell r="T51">
            <v>0</v>
          </cell>
          <cell r="U51">
            <v>969798</v>
          </cell>
          <cell r="W51" t="str">
            <v>GQS</v>
          </cell>
          <cell r="Z51">
            <v>1012859</v>
          </cell>
          <cell r="AB51" t="str">
            <v>PANEL</v>
          </cell>
        </row>
        <row r="52">
          <cell r="S52">
            <v>43061</v>
          </cell>
          <cell r="T52">
            <v>0</v>
          </cell>
          <cell r="U52">
            <v>0</v>
          </cell>
          <cell r="W52" t="str">
            <v>GQS</v>
          </cell>
          <cell r="Z52">
            <v>43061</v>
          </cell>
        </row>
        <row r="53">
          <cell r="S53">
            <v>86122</v>
          </cell>
          <cell r="T53">
            <v>0</v>
          </cell>
          <cell r="U53">
            <v>1427814</v>
          </cell>
          <cell r="W53" t="str">
            <v>GQS</v>
          </cell>
          <cell r="Z53">
            <v>1513936</v>
          </cell>
          <cell r="AB53" t="str">
            <v>PANEL</v>
          </cell>
        </row>
        <row r="54">
          <cell r="S54">
            <v>0</v>
          </cell>
          <cell r="T54">
            <v>0</v>
          </cell>
          <cell r="U54">
            <v>0</v>
          </cell>
          <cell r="W54" t="str">
            <v>GQS</v>
          </cell>
          <cell r="Z54">
            <v>0</v>
          </cell>
          <cell r="AB54" t="str">
            <v>MAIN_UNIT</v>
          </cell>
        </row>
        <row r="55">
          <cell r="S55">
            <v>0</v>
          </cell>
          <cell r="T55">
            <v>0</v>
          </cell>
          <cell r="U55">
            <v>0</v>
          </cell>
          <cell r="W55" t="str">
            <v>GQS</v>
          </cell>
          <cell r="Z55">
            <v>0</v>
          </cell>
          <cell r="AB55" t="str">
            <v>TAPE</v>
          </cell>
        </row>
        <row r="56">
          <cell r="S56">
            <v>43061</v>
          </cell>
          <cell r="T56">
            <v>0</v>
          </cell>
          <cell r="U56">
            <v>1038692</v>
          </cell>
          <cell r="W56" t="str">
            <v>GQS</v>
          </cell>
          <cell r="Z56">
            <v>1081753</v>
          </cell>
          <cell r="AB56" t="str">
            <v>PANEL</v>
          </cell>
        </row>
        <row r="57">
          <cell r="S57">
            <v>0</v>
          </cell>
          <cell r="T57">
            <v>0</v>
          </cell>
          <cell r="U57">
            <v>0</v>
          </cell>
          <cell r="W57" t="str">
            <v>GQS</v>
          </cell>
          <cell r="Z57">
            <v>0</v>
          </cell>
          <cell r="AB57" t="str">
            <v>TAPE</v>
          </cell>
        </row>
        <row r="58">
          <cell r="S58">
            <v>86122</v>
          </cell>
          <cell r="T58">
            <v>0</v>
          </cell>
          <cell r="U58">
            <v>640838</v>
          </cell>
          <cell r="W58" t="str">
            <v>GQS</v>
          </cell>
          <cell r="Z58">
            <v>726960</v>
          </cell>
          <cell r="AB58" t="str">
            <v>PANEL</v>
          </cell>
        </row>
        <row r="59">
          <cell r="S59">
            <v>0</v>
          </cell>
          <cell r="T59">
            <v>0</v>
          </cell>
          <cell r="U59">
            <v>0</v>
          </cell>
          <cell r="W59" t="str">
            <v>GQS</v>
          </cell>
          <cell r="Z59">
            <v>0</v>
          </cell>
          <cell r="AB59" t="str">
            <v>TAPE</v>
          </cell>
        </row>
        <row r="60">
          <cell r="S60">
            <v>17224</v>
          </cell>
          <cell r="T60">
            <v>0</v>
          </cell>
          <cell r="U60">
            <v>0</v>
          </cell>
          <cell r="W60" t="str">
            <v>GQS</v>
          </cell>
          <cell r="Z60">
            <v>17224</v>
          </cell>
        </row>
        <row r="61">
          <cell r="S61">
            <v>25837</v>
          </cell>
          <cell r="T61">
            <v>0</v>
          </cell>
          <cell r="U61">
            <v>0</v>
          </cell>
          <cell r="W61" t="str">
            <v>GQS</v>
          </cell>
          <cell r="Z61">
            <v>25837</v>
          </cell>
        </row>
        <row r="62">
          <cell r="S62">
            <v>43061</v>
          </cell>
          <cell r="T62">
            <v>0</v>
          </cell>
          <cell r="U62">
            <v>367125</v>
          </cell>
          <cell r="W62" t="str">
            <v>GQS</v>
          </cell>
          <cell r="Z62">
            <v>410186</v>
          </cell>
          <cell r="AB62" t="str">
            <v>PANEL</v>
          </cell>
        </row>
        <row r="63">
          <cell r="S63">
            <v>43061</v>
          </cell>
          <cell r="T63">
            <v>0</v>
          </cell>
          <cell r="U63">
            <v>969798</v>
          </cell>
          <cell r="W63" t="str">
            <v>GQS</v>
          </cell>
          <cell r="Z63">
            <v>1012859</v>
          </cell>
          <cell r="AB63" t="str">
            <v>PANEL</v>
          </cell>
        </row>
        <row r="64">
          <cell r="S64">
            <v>86122</v>
          </cell>
          <cell r="T64">
            <v>0</v>
          </cell>
          <cell r="U64">
            <v>299936</v>
          </cell>
          <cell r="W64" t="str">
            <v>GQS</v>
          </cell>
          <cell r="Z64">
            <v>386058</v>
          </cell>
          <cell r="AB64" t="str">
            <v>MAIN_UNIT</v>
          </cell>
        </row>
        <row r="65">
          <cell r="S65">
            <v>43061</v>
          </cell>
          <cell r="T65">
            <v>0</v>
          </cell>
          <cell r="U65">
            <v>0</v>
          </cell>
          <cell r="W65" t="str">
            <v>GQS</v>
          </cell>
          <cell r="Z65">
            <v>43061</v>
          </cell>
        </row>
        <row r="66">
          <cell r="S66">
            <v>43061</v>
          </cell>
          <cell r="T66">
            <v>0</v>
          </cell>
          <cell r="U66">
            <v>0</v>
          </cell>
          <cell r="W66" t="str">
            <v>GQS</v>
          </cell>
          <cell r="Z66">
            <v>43061</v>
          </cell>
        </row>
        <row r="67">
          <cell r="S67">
            <v>25837</v>
          </cell>
          <cell r="T67">
            <v>0</v>
          </cell>
          <cell r="U67">
            <v>0</v>
          </cell>
          <cell r="W67" t="str">
            <v>GQS</v>
          </cell>
          <cell r="Z67">
            <v>25837</v>
          </cell>
        </row>
        <row r="68">
          <cell r="S68">
            <v>51673</v>
          </cell>
          <cell r="T68">
            <v>0</v>
          </cell>
          <cell r="U68">
            <v>0</v>
          </cell>
          <cell r="W68" t="str">
            <v>GQS</v>
          </cell>
          <cell r="Z68">
            <v>51673</v>
          </cell>
        </row>
        <row r="69">
          <cell r="S69">
            <v>43061</v>
          </cell>
          <cell r="T69">
            <v>0</v>
          </cell>
          <cell r="U69">
            <v>610637</v>
          </cell>
          <cell r="W69" t="str">
            <v>GQS</v>
          </cell>
          <cell r="Z69">
            <v>653698</v>
          </cell>
          <cell r="AB69" t="str">
            <v>MAIN_UNIT</v>
          </cell>
        </row>
        <row r="70">
          <cell r="S70">
            <v>43061</v>
          </cell>
          <cell r="T70">
            <v>0</v>
          </cell>
          <cell r="U70">
            <v>0</v>
          </cell>
          <cell r="W70" t="str">
            <v>GQS</v>
          </cell>
          <cell r="Z70">
            <v>43061</v>
          </cell>
        </row>
        <row r="71">
          <cell r="S71">
            <v>25837</v>
          </cell>
          <cell r="T71">
            <v>0</v>
          </cell>
          <cell r="U71">
            <v>0</v>
          </cell>
          <cell r="W71" t="str">
            <v>GQS</v>
          </cell>
          <cell r="Z71">
            <v>25837</v>
          </cell>
        </row>
        <row r="72">
          <cell r="S72">
            <v>43061</v>
          </cell>
          <cell r="T72">
            <v>0</v>
          </cell>
          <cell r="U72">
            <v>0</v>
          </cell>
          <cell r="W72" t="str">
            <v>GQS</v>
          </cell>
          <cell r="Z72">
            <v>43061</v>
          </cell>
        </row>
        <row r="73">
          <cell r="S73">
            <v>86122</v>
          </cell>
          <cell r="T73">
            <v>0</v>
          </cell>
          <cell r="U73">
            <v>0</v>
          </cell>
          <cell r="W73" t="str">
            <v>GQS</v>
          </cell>
          <cell r="Z73">
            <v>86122</v>
          </cell>
        </row>
        <row r="74">
          <cell r="S74">
            <v>86122</v>
          </cell>
          <cell r="T74">
            <v>0</v>
          </cell>
          <cell r="U74">
            <v>68894</v>
          </cell>
          <cell r="W74" t="str">
            <v>GQS</v>
          </cell>
          <cell r="Z74">
            <v>155016</v>
          </cell>
          <cell r="AB74" t="str">
            <v>TAPE</v>
          </cell>
        </row>
        <row r="75">
          <cell r="S75">
            <v>86122</v>
          </cell>
          <cell r="T75">
            <v>0</v>
          </cell>
          <cell r="U75">
            <v>299936</v>
          </cell>
          <cell r="W75" t="str">
            <v>GQS</v>
          </cell>
          <cell r="Z75">
            <v>386058</v>
          </cell>
          <cell r="AB75" t="str">
            <v>MAIN_UNIT</v>
          </cell>
        </row>
        <row r="76">
          <cell r="S76">
            <v>86122</v>
          </cell>
          <cell r="T76">
            <v>0</v>
          </cell>
          <cell r="U76">
            <v>0</v>
          </cell>
          <cell r="W76" t="str">
            <v>GQS</v>
          </cell>
          <cell r="Z76">
            <v>86122</v>
          </cell>
        </row>
        <row r="77">
          <cell r="S77">
            <v>43061</v>
          </cell>
          <cell r="T77">
            <v>0</v>
          </cell>
          <cell r="U77">
            <v>0</v>
          </cell>
          <cell r="W77" t="str">
            <v>GQS</v>
          </cell>
          <cell r="Z77">
            <v>43061</v>
          </cell>
        </row>
        <row r="78">
          <cell r="S78">
            <v>25837</v>
          </cell>
          <cell r="T78">
            <v>0</v>
          </cell>
          <cell r="U78">
            <v>299936</v>
          </cell>
          <cell r="W78" t="str">
            <v>GQS</v>
          </cell>
          <cell r="Z78">
            <v>325773</v>
          </cell>
          <cell r="AB78" t="str">
            <v>MAIN_UNIT</v>
          </cell>
        </row>
        <row r="79">
          <cell r="S79">
            <v>86122</v>
          </cell>
          <cell r="T79">
            <v>0</v>
          </cell>
          <cell r="U79">
            <v>105000</v>
          </cell>
          <cell r="W79" t="str">
            <v>GQS</v>
          </cell>
          <cell r="Z79">
            <v>191122</v>
          </cell>
          <cell r="AB79" t="str">
            <v>PART_KIT</v>
          </cell>
        </row>
        <row r="80">
          <cell r="S80">
            <v>17224</v>
          </cell>
          <cell r="T80">
            <v>0</v>
          </cell>
          <cell r="U80">
            <v>12469</v>
          </cell>
          <cell r="W80" t="str">
            <v>GQS</v>
          </cell>
          <cell r="Z80">
            <v>29693</v>
          </cell>
          <cell r="AB80" t="str">
            <v>REMOTE_CONTROL</v>
          </cell>
        </row>
        <row r="81">
          <cell r="S81">
            <v>43061</v>
          </cell>
          <cell r="T81">
            <v>0</v>
          </cell>
          <cell r="U81">
            <v>0</v>
          </cell>
          <cell r="W81" t="str">
            <v>GQS</v>
          </cell>
          <cell r="Z81">
            <v>43061</v>
          </cell>
        </row>
        <row r="82">
          <cell r="S82">
            <v>25837</v>
          </cell>
          <cell r="T82">
            <v>0</v>
          </cell>
          <cell r="U82">
            <v>0</v>
          </cell>
          <cell r="W82" t="str">
            <v>GQS</v>
          </cell>
          <cell r="Z82">
            <v>25837</v>
          </cell>
        </row>
        <row r="83">
          <cell r="S83">
            <v>17224</v>
          </cell>
          <cell r="T83">
            <v>0</v>
          </cell>
          <cell r="U83">
            <v>0</v>
          </cell>
          <cell r="W83" t="str">
            <v>GQS</v>
          </cell>
          <cell r="Z83">
            <v>17224</v>
          </cell>
        </row>
        <row r="84">
          <cell r="S84">
            <v>43061</v>
          </cell>
          <cell r="T84">
            <v>0</v>
          </cell>
          <cell r="U84">
            <v>614888</v>
          </cell>
          <cell r="W84" t="str">
            <v>GQS</v>
          </cell>
          <cell r="Z84">
            <v>657949</v>
          </cell>
          <cell r="AB84" t="str">
            <v>MAIN_UNIT</v>
          </cell>
        </row>
        <row r="85">
          <cell r="S85">
            <v>17224</v>
          </cell>
          <cell r="T85">
            <v>0</v>
          </cell>
          <cell r="U85">
            <v>367125</v>
          </cell>
          <cell r="W85" t="str">
            <v>GQS</v>
          </cell>
          <cell r="Z85">
            <v>384349</v>
          </cell>
          <cell r="AB85" t="str">
            <v>PANEL</v>
          </cell>
        </row>
        <row r="86">
          <cell r="S86">
            <v>43061</v>
          </cell>
          <cell r="T86">
            <v>0</v>
          </cell>
          <cell r="U86">
            <v>325972</v>
          </cell>
          <cell r="W86" t="str">
            <v>GQS</v>
          </cell>
          <cell r="Z86">
            <v>369033</v>
          </cell>
          <cell r="AB86" t="str">
            <v>MAIN_UNIT</v>
          </cell>
        </row>
        <row r="87">
          <cell r="S87">
            <v>43061</v>
          </cell>
          <cell r="T87">
            <v>0</v>
          </cell>
          <cell r="U87">
            <v>569380</v>
          </cell>
          <cell r="W87" t="str">
            <v>GQS</v>
          </cell>
          <cell r="Z87">
            <v>612441</v>
          </cell>
          <cell r="AB87" t="str">
            <v>PANEL</v>
          </cell>
        </row>
        <row r="88">
          <cell r="S88">
            <v>25837</v>
          </cell>
          <cell r="T88">
            <v>0</v>
          </cell>
          <cell r="U88">
            <v>102457</v>
          </cell>
          <cell r="W88" t="str">
            <v>GQS</v>
          </cell>
          <cell r="Z88">
            <v>128294</v>
          </cell>
          <cell r="AB88" t="str">
            <v>REMOTE_CONTROL</v>
          </cell>
        </row>
        <row r="89">
          <cell r="S89">
            <v>43061</v>
          </cell>
          <cell r="T89">
            <v>0</v>
          </cell>
          <cell r="U89">
            <v>102457</v>
          </cell>
          <cell r="W89" t="str">
            <v>GQS</v>
          </cell>
          <cell r="Z89">
            <v>145518</v>
          </cell>
          <cell r="AB89" t="str">
            <v>REMOTE_CONTROL</v>
          </cell>
        </row>
        <row r="90">
          <cell r="S90">
            <v>43061</v>
          </cell>
          <cell r="T90">
            <v>0</v>
          </cell>
          <cell r="U90">
            <v>12469</v>
          </cell>
          <cell r="W90" t="str">
            <v>GQS</v>
          </cell>
          <cell r="Z90">
            <v>55530</v>
          </cell>
          <cell r="AB90" t="str">
            <v>REMOTE_CONTROL</v>
          </cell>
        </row>
        <row r="91">
          <cell r="S91">
            <v>77510</v>
          </cell>
          <cell r="T91">
            <v>0</v>
          </cell>
          <cell r="U91">
            <v>610638</v>
          </cell>
          <cell r="W91" t="str">
            <v>GQS</v>
          </cell>
          <cell r="Z91">
            <v>688148</v>
          </cell>
          <cell r="AB91" t="str">
            <v>MAIN_UNIT</v>
          </cell>
        </row>
        <row r="92">
          <cell r="S92">
            <v>86122</v>
          </cell>
          <cell r="T92">
            <v>0</v>
          </cell>
          <cell r="U92">
            <v>811923</v>
          </cell>
          <cell r="W92" t="str">
            <v>GQS</v>
          </cell>
          <cell r="Z92">
            <v>898045</v>
          </cell>
          <cell r="AB92" t="str">
            <v>PANEL</v>
          </cell>
        </row>
        <row r="93">
          <cell r="S93">
            <v>60285</v>
          </cell>
          <cell r="T93">
            <v>0</v>
          </cell>
          <cell r="U93">
            <v>0</v>
          </cell>
          <cell r="W93" t="str">
            <v>GQS</v>
          </cell>
          <cell r="Z93">
            <v>60285</v>
          </cell>
        </row>
        <row r="94">
          <cell r="S94">
            <v>17224</v>
          </cell>
          <cell r="T94">
            <v>0</v>
          </cell>
          <cell r="U94">
            <v>0</v>
          </cell>
          <cell r="W94" t="str">
            <v>GQS</v>
          </cell>
          <cell r="Z94">
            <v>17224</v>
          </cell>
        </row>
        <row r="95">
          <cell r="S95">
            <v>25837</v>
          </cell>
          <cell r="T95">
            <v>0</v>
          </cell>
          <cell r="U95">
            <v>569380</v>
          </cell>
          <cell r="W95" t="str">
            <v>GQS</v>
          </cell>
          <cell r="Z95">
            <v>595217</v>
          </cell>
          <cell r="AB95" t="str">
            <v>PANEL</v>
          </cell>
        </row>
        <row r="96">
          <cell r="S96">
            <v>25837</v>
          </cell>
          <cell r="T96">
            <v>0</v>
          </cell>
          <cell r="U96">
            <v>602572</v>
          </cell>
          <cell r="W96" t="str">
            <v>GQS</v>
          </cell>
          <cell r="Z96">
            <v>628409</v>
          </cell>
          <cell r="AB96" t="str">
            <v>MAIN_UNIT</v>
          </cell>
        </row>
        <row r="97">
          <cell r="S97">
            <v>60285</v>
          </cell>
          <cell r="T97">
            <v>0</v>
          </cell>
          <cell r="U97">
            <v>0</v>
          </cell>
          <cell r="W97" t="str">
            <v>GQS</v>
          </cell>
          <cell r="Z97">
            <v>60285</v>
          </cell>
        </row>
        <row r="98">
          <cell r="S98">
            <v>25837</v>
          </cell>
          <cell r="T98">
            <v>0</v>
          </cell>
          <cell r="U98">
            <v>0</v>
          </cell>
          <cell r="W98" t="str">
            <v>GQS</v>
          </cell>
          <cell r="Z98">
            <v>25837</v>
          </cell>
        </row>
        <row r="99">
          <cell r="S99">
            <v>68898</v>
          </cell>
          <cell r="T99">
            <v>0</v>
          </cell>
          <cell r="U99">
            <v>0</v>
          </cell>
          <cell r="W99" t="str">
            <v>GQS</v>
          </cell>
          <cell r="Z99">
            <v>68898</v>
          </cell>
        </row>
        <row r="100">
          <cell r="S100">
            <v>43061</v>
          </cell>
          <cell r="T100">
            <v>0</v>
          </cell>
          <cell r="U100">
            <v>120105</v>
          </cell>
          <cell r="W100" t="str">
            <v>GQS</v>
          </cell>
          <cell r="Z100">
            <v>163166</v>
          </cell>
          <cell r="AB100" t="str">
            <v>MAIN_UNIT</v>
          </cell>
        </row>
        <row r="101">
          <cell r="S101">
            <v>25837</v>
          </cell>
          <cell r="T101">
            <v>0</v>
          </cell>
          <cell r="U101">
            <v>0</v>
          </cell>
          <cell r="W101" t="str">
            <v>GQS</v>
          </cell>
          <cell r="Z101">
            <v>25837</v>
          </cell>
        </row>
        <row r="102">
          <cell r="S102">
            <v>25837</v>
          </cell>
          <cell r="T102">
            <v>0</v>
          </cell>
          <cell r="U102">
            <v>818684</v>
          </cell>
          <cell r="W102" t="str">
            <v>GQS</v>
          </cell>
          <cell r="Z102">
            <v>844521</v>
          </cell>
          <cell r="AB102" t="str">
            <v>MAIN_UNIT</v>
          </cell>
        </row>
        <row r="103">
          <cell r="S103">
            <v>43061</v>
          </cell>
          <cell r="T103">
            <v>0</v>
          </cell>
          <cell r="U103">
            <v>0</v>
          </cell>
          <cell r="W103" t="str">
            <v>GQS</v>
          </cell>
          <cell r="Z103">
            <v>43061</v>
          </cell>
        </row>
        <row r="104">
          <cell r="S104">
            <v>43061</v>
          </cell>
          <cell r="T104">
            <v>0</v>
          </cell>
          <cell r="U104">
            <v>0</v>
          </cell>
          <cell r="W104" t="str">
            <v>GQS</v>
          </cell>
          <cell r="Z104">
            <v>43061</v>
          </cell>
        </row>
        <row r="105">
          <cell r="S105">
            <v>25837</v>
          </cell>
          <cell r="T105">
            <v>0</v>
          </cell>
          <cell r="U105">
            <v>969798</v>
          </cell>
          <cell r="W105" t="str">
            <v>GQS</v>
          </cell>
          <cell r="Z105">
            <v>995635</v>
          </cell>
          <cell r="AB105" t="str">
            <v>PANEL</v>
          </cell>
        </row>
        <row r="106">
          <cell r="S106">
            <v>43061</v>
          </cell>
          <cell r="T106">
            <v>0</v>
          </cell>
          <cell r="U106">
            <v>1055402</v>
          </cell>
          <cell r="W106" t="str">
            <v>GQS</v>
          </cell>
          <cell r="Z106">
            <v>1098463</v>
          </cell>
          <cell r="AB106" t="str">
            <v>MAIN_UNIT</v>
          </cell>
        </row>
        <row r="107">
          <cell r="S107">
            <v>43061</v>
          </cell>
          <cell r="T107">
            <v>0</v>
          </cell>
          <cell r="U107">
            <v>0</v>
          </cell>
          <cell r="W107" t="str">
            <v>GQS</v>
          </cell>
          <cell r="Z107">
            <v>43061</v>
          </cell>
        </row>
        <row r="108">
          <cell r="S108">
            <v>43061</v>
          </cell>
          <cell r="T108">
            <v>0</v>
          </cell>
          <cell r="U108">
            <v>969798</v>
          </cell>
          <cell r="W108" t="str">
            <v>GQS</v>
          </cell>
          <cell r="Z108">
            <v>1012859</v>
          </cell>
          <cell r="AB108" t="str">
            <v>PANEL</v>
          </cell>
        </row>
        <row r="109">
          <cell r="S109">
            <v>86122</v>
          </cell>
          <cell r="T109">
            <v>0</v>
          </cell>
          <cell r="U109">
            <v>610638</v>
          </cell>
          <cell r="W109" t="str">
            <v>GQS</v>
          </cell>
          <cell r="Z109">
            <v>696760</v>
          </cell>
          <cell r="AB109" t="str">
            <v>MAIN_UNIT</v>
          </cell>
        </row>
        <row r="110">
          <cell r="S110">
            <v>86122</v>
          </cell>
          <cell r="T110">
            <v>0</v>
          </cell>
          <cell r="U110">
            <v>297604</v>
          </cell>
          <cell r="W110" t="str">
            <v>GQS</v>
          </cell>
          <cell r="Z110">
            <v>383726</v>
          </cell>
          <cell r="AB110" t="str">
            <v>MAIN_UNIT</v>
          </cell>
        </row>
        <row r="111">
          <cell r="S111">
            <v>25837</v>
          </cell>
          <cell r="T111">
            <v>0</v>
          </cell>
          <cell r="U111">
            <v>0</v>
          </cell>
          <cell r="W111" t="str">
            <v>GQS</v>
          </cell>
          <cell r="Z111">
            <v>25837</v>
          </cell>
        </row>
        <row r="112">
          <cell r="S112">
            <v>51673</v>
          </cell>
          <cell r="T112">
            <v>0</v>
          </cell>
          <cell r="U112">
            <v>969798</v>
          </cell>
          <cell r="W112" t="str">
            <v>GQS</v>
          </cell>
          <cell r="Z112">
            <v>1021471</v>
          </cell>
          <cell r="AB112" t="str">
            <v>PANEL</v>
          </cell>
        </row>
        <row r="113">
          <cell r="S113">
            <v>43061</v>
          </cell>
          <cell r="T113">
            <v>0</v>
          </cell>
          <cell r="U113">
            <v>569380</v>
          </cell>
          <cell r="W113" t="str">
            <v>GQS</v>
          </cell>
          <cell r="Z113">
            <v>612441</v>
          </cell>
          <cell r="AB113" t="str">
            <v>PANEL</v>
          </cell>
        </row>
        <row r="114">
          <cell r="S114">
            <v>34449</v>
          </cell>
          <cell r="T114">
            <v>0</v>
          </cell>
          <cell r="U114">
            <v>701921</v>
          </cell>
          <cell r="W114" t="str">
            <v>GQS</v>
          </cell>
          <cell r="Z114">
            <v>736370</v>
          </cell>
          <cell r="AB114" t="str">
            <v>PANEL</v>
          </cell>
        </row>
        <row r="115">
          <cell r="S115">
            <v>34449</v>
          </cell>
          <cell r="T115">
            <v>0</v>
          </cell>
          <cell r="U115">
            <v>0</v>
          </cell>
          <cell r="W115" t="str">
            <v>GQS</v>
          </cell>
          <cell r="Z115">
            <v>34449</v>
          </cell>
        </row>
        <row r="116">
          <cell r="S116">
            <v>43061</v>
          </cell>
          <cell r="T116">
            <v>0</v>
          </cell>
          <cell r="U116">
            <v>610638</v>
          </cell>
          <cell r="W116" t="str">
            <v>GQS</v>
          </cell>
          <cell r="Z116">
            <v>653699</v>
          </cell>
          <cell r="AB116" t="str">
            <v>MAIN_UNIT</v>
          </cell>
        </row>
        <row r="117">
          <cell r="S117">
            <v>34449</v>
          </cell>
          <cell r="T117">
            <v>0</v>
          </cell>
          <cell r="U117">
            <v>269147</v>
          </cell>
          <cell r="W117" t="str">
            <v>GQS</v>
          </cell>
          <cell r="Z117">
            <v>303596</v>
          </cell>
          <cell r="AB117" t="str">
            <v>MAIN_UNIT</v>
          </cell>
        </row>
        <row r="118">
          <cell r="S118">
            <v>17224</v>
          </cell>
          <cell r="T118">
            <v>0</v>
          </cell>
          <cell r="U118">
            <v>0</v>
          </cell>
          <cell r="W118" t="str">
            <v>GQS</v>
          </cell>
          <cell r="Z118">
            <v>17224</v>
          </cell>
        </row>
        <row r="119">
          <cell r="S119">
            <v>43061</v>
          </cell>
          <cell r="T119">
            <v>0</v>
          </cell>
          <cell r="U119">
            <v>610637</v>
          </cell>
          <cell r="W119" t="str">
            <v>GQS</v>
          </cell>
          <cell r="Z119">
            <v>653698</v>
          </cell>
          <cell r="AB119" t="str">
            <v>MAIN_UNIT</v>
          </cell>
        </row>
        <row r="120">
          <cell r="S120">
            <v>43061</v>
          </cell>
          <cell r="T120">
            <v>0</v>
          </cell>
          <cell r="U120">
            <v>1373767</v>
          </cell>
          <cell r="W120" t="str">
            <v>GQS</v>
          </cell>
          <cell r="Z120">
            <v>1416828</v>
          </cell>
          <cell r="AB120" t="str">
            <v>PANEL</v>
          </cell>
        </row>
        <row r="121">
          <cell r="S121">
            <v>51673</v>
          </cell>
          <cell r="T121">
            <v>0</v>
          </cell>
          <cell r="U121">
            <v>0</v>
          </cell>
          <cell r="W121" t="str">
            <v>GQS</v>
          </cell>
          <cell r="Z121">
            <v>51673</v>
          </cell>
        </row>
        <row r="122">
          <cell r="S122">
            <v>43061</v>
          </cell>
          <cell r="T122">
            <v>0</v>
          </cell>
          <cell r="U122">
            <v>0</v>
          </cell>
          <cell r="W122" t="str">
            <v>GQS</v>
          </cell>
          <cell r="Z122">
            <v>43061</v>
          </cell>
        </row>
        <row r="123">
          <cell r="S123">
            <v>43061</v>
          </cell>
          <cell r="T123">
            <v>0</v>
          </cell>
          <cell r="U123">
            <v>0</v>
          </cell>
          <cell r="W123" t="str">
            <v>GQS</v>
          </cell>
          <cell r="Z123">
            <v>43061</v>
          </cell>
        </row>
        <row r="124">
          <cell r="S124">
            <v>86122</v>
          </cell>
          <cell r="T124">
            <v>0</v>
          </cell>
          <cell r="U124">
            <v>0</v>
          </cell>
          <cell r="W124" t="str">
            <v>GQS</v>
          </cell>
          <cell r="Z124">
            <v>86122</v>
          </cell>
        </row>
        <row r="125">
          <cell r="S125">
            <v>25837</v>
          </cell>
          <cell r="T125">
            <v>0</v>
          </cell>
          <cell r="U125">
            <v>0</v>
          </cell>
          <cell r="W125" t="str">
            <v>GQS</v>
          </cell>
          <cell r="Z125">
            <v>25837</v>
          </cell>
        </row>
        <row r="126">
          <cell r="S126">
            <v>68898</v>
          </cell>
          <cell r="T126">
            <v>0</v>
          </cell>
          <cell r="U126">
            <v>554476</v>
          </cell>
          <cell r="W126" t="str">
            <v>GQS</v>
          </cell>
          <cell r="Z126">
            <v>623374</v>
          </cell>
          <cell r="AB126" t="str">
            <v>MAIN_UNIT</v>
          </cell>
        </row>
        <row r="127">
          <cell r="S127">
            <v>43061</v>
          </cell>
          <cell r="T127">
            <v>0</v>
          </cell>
          <cell r="U127">
            <v>0</v>
          </cell>
          <cell r="W127" t="str">
            <v>GQS</v>
          </cell>
          <cell r="Z127">
            <v>43061</v>
          </cell>
        </row>
        <row r="128">
          <cell r="S128">
            <v>17224</v>
          </cell>
          <cell r="T128">
            <v>0</v>
          </cell>
          <cell r="U128">
            <v>0</v>
          </cell>
          <cell r="W128" t="str">
            <v>GQS</v>
          </cell>
          <cell r="Z128">
            <v>17224</v>
          </cell>
        </row>
        <row r="129">
          <cell r="S129">
            <v>34449</v>
          </cell>
          <cell r="T129">
            <v>0</v>
          </cell>
          <cell r="U129">
            <v>969798</v>
          </cell>
          <cell r="W129" t="str">
            <v>GQS</v>
          </cell>
          <cell r="Z129">
            <v>1004247</v>
          </cell>
          <cell r="AB129" t="str">
            <v>PANEL</v>
          </cell>
        </row>
        <row r="130">
          <cell r="S130">
            <v>43061</v>
          </cell>
          <cell r="T130">
            <v>0</v>
          </cell>
          <cell r="U130">
            <v>969798</v>
          </cell>
          <cell r="W130" t="str">
            <v>GQS</v>
          </cell>
          <cell r="Z130">
            <v>1012859</v>
          </cell>
          <cell r="AB130" t="str">
            <v>PANEL</v>
          </cell>
        </row>
        <row r="131">
          <cell r="S131">
            <v>25837</v>
          </cell>
          <cell r="T131">
            <v>0</v>
          </cell>
          <cell r="U131">
            <v>0</v>
          </cell>
          <cell r="W131" t="str">
            <v>GQS</v>
          </cell>
          <cell r="Z131">
            <v>25837</v>
          </cell>
        </row>
        <row r="132">
          <cell r="S132">
            <v>25837</v>
          </cell>
          <cell r="T132">
            <v>0</v>
          </cell>
          <cell r="U132">
            <v>610637</v>
          </cell>
          <cell r="W132" t="str">
            <v>GQS</v>
          </cell>
          <cell r="Z132">
            <v>636474</v>
          </cell>
          <cell r="AB132" t="str">
            <v>MAIN_UNIT</v>
          </cell>
        </row>
        <row r="133">
          <cell r="S133">
            <v>43061</v>
          </cell>
          <cell r="T133">
            <v>0</v>
          </cell>
          <cell r="U133">
            <v>969798</v>
          </cell>
          <cell r="W133" t="str">
            <v>GQS</v>
          </cell>
          <cell r="Z133">
            <v>1012859</v>
          </cell>
          <cell r="AB133" t="str">
            <v>PANEL</v>
          </cell>
        </row>
        <row r="134">
          <cell r="S134">
            <v>25837</v>
          </cell>
          <cell r="T134">
            <v>0</v>
          </cell>
          <cell r="U134">
            <v>0</v>
          </cell>
          <cell r="W134" t="str">
            <v>GQS</v>
          </cell>
          <cell r="Z134">
            <v>25837</v>
          </cell>
        </row>
        <row r="135">
          <cell r="S135">
            <v>25837</v>
          </cell>
          <cell r="T135">
            <v>0</v>
          </cell>
          <cell r="U135">
            <v>0</v>
          </cell>
          <cell r="W135" t="str">
            <v>GQS</v>
          </cell>
          <cell r="Z135">
            <v>25837</v>
          </cell>
        </row>
        <row r="136">
          <cell r="S136">
            <v>43061</v>
          </cell>
          <cell r="T136">
            <v>0</v>
          </cell>
          <cell r="U136">
            <v>0</v>
          </cell>
          <cell r="W136" t="str">
            <v>GQS</v>
          </cell>
          <cell r="Z136">
            <v>43061</v>
          </cell>
        </row>
        <row r="137">
          <cell r="S137">
            <v>25837</v>
          </cell>
          <cell r="T137">
            <v>0</v>
          </cell>
          <cell r="U137">
            <v>12469</v>
          </cell>
          <cell r="W137" t="str">
            <v>GQS</v>
          </cell>
          <cell r="Z137">
            <v>38306</v>
          </cell>
          <cell r="AB137" t="str">
            <v>REMOTE_CONTROL</v>
          </cell>
        </row>
        <row r="138">
          <cell r="S138">
            <v>43061</v>
          </cell>
          <cell r="T138">
            <v>0</v>
          </cell>
          <cell r="U138">
            <v>569380</v>
          </cell>
          <cell r="W138" t="str">
            <v>GQS</v>
          </cell>
          <cell r="Z138">
            <v>612441</v>
          </cell>
          <cell r="AB138" t="str">
            <v>PANEL</v>
          </cell>
        </row>
        <row r="139">
          <cell r="S139">
            <v>43061</v>
          </cell>
          <cell r="T139">
            <v>0</v>
          </cell>
          <cell r="U139">
            <v>1373767</v>
          </cell>
          <cell r="W139" t="str">
            <v>GQS</v>
          </cell>
          <cell r="Z139">
            <v>1416828</v>
          </cell>
          <cell r="AB139" t="str">
            <v>PANEL</v>
          </cell>
        </row>
        <row r="140">
          <cell r="S140">
            <v>0</v>
          </cell>
          <cell r="T140">
            <v>0</v>
          </cell>
          <cell r="U140">
            <v>0</v>
          </cell>
          <cell r="W140" t="str">
            <v>GQS</v>
          </cell>
          <cell r="Z140">
            <v>0</v>
          </cell>
          <cell r="AB140" t="str">
            <v>TAPE</v>
          </cell>
        </row>
        <row r="141">
          <cell r="S141">
            <v>43061</v>
          </cell>
          <cell r="T141">
            <v>0</v>
          </cell>
          <cell r="U141">
            <v>640838</v>
          </cell>
          <cell r="W141" t="str">
            <v>GQS</v>
          </cell>
          <cell r="Z141">
            <v>683899</v>
          </cell>
          <cell r="AB141" t="str">
            <v>PANEL</v>
          </cell>
        </row>
        <row r="142">
          <cell r="S142">
            <v>43061</v>
          </cell>
          <cell r="T142">
            <v>0</v>
          </cell>
          <cell r="U142">
            <v>0</v>
          </cell>
          <cell r="W142" t="str">
            <v>GQS</v>
          </cell>
          <cell r="Z142">
            <v>43061</v>
          </cell>
        </row>
        <row r="143">
          <cell r="S143">
            <v>0</v>
          </cell>
          <cell r="T143">
            <v>0</v>
          </cell>
          <cell r="U143">
            <v>0</v>
          </cell>
          <cell r="W143" t="str">
            <v>GQS</v>
          </cell>
          <cell r="Z143">
            <v>0</v>
          </cell>
          <cell r="AB143" t="str">
            <v>TAPE</v>
          </cell>
        </row>
        <row r="144">
          <cell r="S144">
            <v>25837</v>
          </cell>
          <cell r="T144">
            <v>140700</v>
          </cell>
          <cell r="U144">
            <v>68895</v>
          </cell>
          <cell r="W144" t="str">
            <v>GQS</v>
          </cell>
          <cell r="Z144">
            <v>235432</v>
          </cell>
          <cell r="AB144" t="str">
            <v>PANEL</v>
          </cell>
        </row>
        <row r="145">
          <cell r="S145">
            <v>17224</v>
          </cell>
          <cell r="T145">
            <v>10500</v>
          </cell>
          <cell r="U145">
            <v>0</v>
          </cell>
          <cell r="W145" t="str">
            <v>GQS</v>
          </cell>
          <cell r="Z145">
            <v>27724</v>
          </cell>
        </row>
        <row r="146">
          <cell r="S146">
            <v>25837</v>
          </cell>
          <cell r="T146">
            <v>0</v>
          </cell>
          <cell r="U146">
            <v>0</v>
          </cell>
          <cell r="W146" t="str">
            <v>GQS</v>
          </cell>
          <cell r="Z146">
            <v>25837</v>
          </cell>
        </row>
        <row r="147">
          <cell r="S147">
            <v>25837</v>
          </cell>
          <cell r="T147">
            <v>0</v>
          </cell>
          <cell r="U147">
            <v>0</v>
          </cell>
          <cell r="W147" t="str">
            <v>GQS</v>
          </cell>
          <cell r="Z147">
            <v>25837</v>
          </cell>
        </row>
        <row r="148">
          <cell r="S148">
            <v>0</v>
          </cell>
          <cell r="T148">
            <v>0</v>
          </cell>
          <cell r="U148">
            <v>0</v>
          </cell>
          <cell r="W148" t="str">
            <v>GQS</v>
          </cell>
          <cell r="Z148">
            <v>0</v>
          </cell>
          <cell r="AB148" t="str">
            <v>TAPE</v>
          </cell>
        </row>
        <row r="149">
          <cell r="S149">
            <v>43061</v>
          </cell>
          <cell r="T149">
            <v>136500</v>
          </cell>
          <cell r="U149">
            <v>756682</v>
          </cell>
          <cell r="W149" t="str">
            <v>GQS</v>
          </cell>
          <cell r="Z149">
            <v>936243</v>
          </cell>
          <cell r="AB149" t="str">
            <v>PANEL</v>
          </cell>
        </row>
        <row r="150">
          <cell r="S150">
            <v>17224</v>
          </cell>
          <cell r="T150">
            <v>21000</v>
          </cell>
          <cell r="U150">
            <v>0</v>
          </cell>
          <cell r="W150" t="str">
            <v>GQS</v>
          </cell>
          <cell r="Z150">
            <v>38224</v>
          </cell>
        </row>
        <row r="151">
          <cell r="S151">
            <v>60285</v>
          </cell>
          <cell r="T151">
            <v>73500</v>
          </cell>
          <cell r="U151">
            <v>811923</v>
          </cell>
          <cell r="W151" t="str">
            <v>GQS</v>
          </cell>
          <cell r="Z151">
            <v>945708</v>
          </cell>
          <cell r="AB151" t="str">
            <v>PANEL</v>
          </cell>
        </row>
        <row r="152">
          <cell r="S152">
            <v>25837</v>
          </cell>
          <cell r="T152">
            <v>6300</v>
          </cell>
          <cell r="U152">
            <v>577583</v>
          </cell>
          <cell r="W152" t="str">
            <v>GQS</v>
          </cell>
          <cell r="Z152">
            <v>609720</v>
          </cell>
          <cell r="AB152" t="str">
            <v>PANEL</v>
          </cell>
        </row>
        <row r="153">
          <cell r="S153">
            <v>0</v>
          </cell>
          <cell r="T153">
            <v>0</v>
          </cell>
          <cell r="U153">
            <v>0</v>
          </cell>
          <cell r="W153" t="str">
            <v>GQS</v>
          </cell>
          <cell r="Z153">
            <v>0</v>
          </cell>
          <cell r="AB153" t="str">
            <v>PFRAME</v>
          </cell>
        </row>
        <row r="154">
          <cell r="S154">
            <v>43061</v>
          </cell>
          <cell r="T154">
            <v>23100</v>
          </cell>
          <cell r="U154">
            <v>1373768</v>
          </cell>
          <cell r="W154" t="str">
            <v>GQS</v>
          </cell>
          <cell r="Z154">
            <v>1439929</v>
          </cell>
          <cell r="AB154" t="str">
            <v>PANEL</v>
          </cell>
        </row>
        <row r="155">
          <cell r="S155">
            <v>25837</v>
          </cell>
          <cell r="T155">
            <v>21000</v>
          </cell>
          <cell r="U155">
            <v>120105</v>
          </cell>
          <cell r="W155" t="str">
            <v>GQS</v>
          </cell>
          <cell r="Z155">
            <v>166942</v>
          </cell>
          <cell r="AB155" t="str">
            <v>MAIN_UNIT</v>
          </cell>
        </row>
        <row r="156">
          <cell r="S156">
            <v>17224</v>
          </cell>
          <cell r="T156">
            <v>10500</v>
          </cell>
          <cell r="U156">
            <v>0</v>
          </cell>
          <cell r="W156" t="str">
            <v>GQS</v>
          </cell>
          <cell r="Z156">
            <v>27724</v>
          </cell>
        </row>
        <row r="157">
          <cell r="S157">
            <v>25837</v>
          </cell>
          <cell r="T157">
            <v>6300</v>
          </cell>
          <cell r="U157">
            <v>1373768</v>
          </cell>
          <cell r="W157" t="str">
            <v>GQS</v>
          </cell>
          <cell r="Z157">
            <v>1405905</v>
          </cell>
          <cell r="AB157" t="str">
            <v>PANEL</v>
          </cell>
        </row>
        <row r="158">
          <cell r="S158">
            <v>25837</v>
          </cell>
          <cell r="T158">
            <v>0</v>
          </cell>
          <cell r="U158">
            <v>0</v>
          </cell>
          <cell r="W158" t="str">
            <v>GQS</v>
          </cell>
          <cell r="Z158">
            <v>25837</v>
          </cell>
        </row>
        <row r="159">
          <cell r="S159">
            <v>86122</v>
          </cell>
          <cell r="T159">
            <v>31500</v>
          </cell>
          <cell r="U159">
            <v>1573890</v>
          </cell>
          <cell r="W159" t="str">
            <v>GQS</v>
          </cell>
          <cell r="Z159">
            <v>1691512</v>
          </cell>
          <cell r="AB159" t="str">
            <v>PANEL</v>
          </cell>
        </row>
        <row r="160">
          <cell r="S160">
            <v>0</v>
          </cell>
          <cell r="T160">
            <v>0</v>
          </cell>
          <cell r="U160">
            <v>0</v>
          </cell>
          <cell r="W160" t="str">
            <v>GQS</v>
          </cell>
          <cell r="Z160">
            <v>0</v>
          </cell>
          <cell r="AB160" t="str">
            <v>TCON_UNIT</v>
          </cell>
        </row>
        <row r="161">
          <cell r="S161">
            <v>0</v>
          </cell>
          <cell r="T161">
            <v>0</v>
          </cell>
          <cell r="U161">
            <v>0</v>
          </cell>
          <cell r="W161" t="str">
            <v>GQS</v>
          </cell>
          <cell r="Z161">
            <v>0</v>
          </cell>
          <cell r="AB161" t="str">
            <v>PART_KIT</v>
          </cell>
        </row>
        <row r="162">
          <cell r="S162">
            <v>86122</v>
          </cell>
          <cell r="T162">
            <v>21000</v>
          </cell>
          <cell r="U162">
            <v>1820477</v>
          </cell>
          <cell r="W162" t="str">
            <v>GQS</v>
          </cell>
          <cell r="Z162">
            <v>1927599</v>
          </cell>
          <cell r="AB162" t="str">
            <v>PANEL</v>
          </cell>
        </row>
        <row r="163">
          <cell r="S163">
            <v>0</v>
          </cell>
          <cell r="T163">
            <v>0</v>
          </cell>
          <cell r="U163">
            <v>0</v>
          </cell>
          <cell r="W163" t="str">
            <v>GQS</v>
          </cell>
          <cell r="Z163">
            <v>0</v>
          </cell>
          <cell r="AB163" t="str">
            <v>LVDS_WIRE</v>
          </cell>
        </row>
        <row r="164">
          <cell r="S164">
            <v>86122</v>
          </cell>
          <cell r="T164">
            <v>31500</v>
          </cell>
          <cell r="U164">
            <v>610637</v>
          </cell>
          <cell r="W164" t="str">
            <v>GQS</v>
          </cell>
          <cell r="Z164">
            <v>728259</v>
          </cell>
          <cell r="AB164" t="str">
            <v>MAIN_UNIT</v>
          </cell>
        </row>
        <row r="165">
          <cell r="S165">
            <v>43061</v>
          </cell>
          <cell r="T165">
            <v>21000</v>
          </cell>
          <cell r="U165">
            <v>27327</v>
          </cell>
          <cell r="W165" t="str">
            <v>GQS</v>
          </cell>
          <cell r="Z165">
            <v>91388</v>
          </cell>
          <cell r="AB165" t="str">
            <v>IR_UNIT</v>
          </cell>
        </row>
        <row r="166">
          <cell r="S166">
            <v>0</v>
          </cell>
          <cell r="T166">
            <v>0</v>
          </cell>
          <cell r="U166">
            <v>0</v>
          </cell>
          <cell r="W166" t="str">
            <v>GQS</v>
          </cell>
          <cell r="Z166">
            <v>0</v>
          </cell>
          <cell r="AB166" t="str">
            <v>REMOTE_CONTROL</v>
          </cell>
        </row>
        <row r="167">
          <cell r="S167">
            <v>86122</v>
          </cell>
          <cell r="T167">
            <v>35700</v>
          </cell>
          <cell r="U167">
            <v>236694</v>
          </cell>
          <cell r="W167" t="str">
            <v>GQS</v>
          </cell>
          <cell r="Z167">
            <v>358516</v>
          </cell>
          <cell r="AB167" t="str">
            <v>MAIN_UNIT</v>
          </cell>
        </row>
        <row r="168">
          <cell r="S168">
            <v>43061</v>
          </cell>
          <cell r="T168">
            <v>12600</v>
          </cell>
          <cell r="U168">
            <v>1373767</v>
          </cell>
          <cell r="W168" t="str">
            <v>GQS</v>
          </cell>
          <cell r="Z168">
            <v>1429428</v>
          </cell>
          <cell r="AB168" t="str">
            <v>PANEL</v>
          </cell>
        </row>
        <row r="169">
          <cell r="S169">
            <v>43061</v>
          </cell>
          <cell r="T169">
            <v>273000</v>
          </cell>
          <cell r="U169">
            <v>120105</v>
          </cell>
          <cell r="W169" t="str">
            <v>GQS</v>
          </cell>
          <cell r="Z169">
            <v>436166</v>
          </cell>
          <cell r="AB169" t="str">
            <v>MAIN_UNIT</v>
          </cell>
        </row>
        <row r="170">
          <cell r="S170">
            <v>43061</v>
          </cell>
          <cell r="T170">
            <v>37800</v>
          </cell>
          <cell r="U170">
            <v>120105</v>
          </cell>
          <cell r="W170" t="str">
            <v>GQS</v>
          </cell>
          <cell r="Z170">
            <v>200966</v>
          </cell>
          <cell r="AB170" t="str">
            <v>MAIN_UNIT</v>
          </cell>
        </row>
        <row r="171">
          <cell r="S171">
            <v>43061</v>
          </cell>
          <cell r="T171">
            <v>31500</v>
          </cell>
          <cell r="U171">
            <v>5533</v>
          </cell>
          <cell r="W171" t="str">
            <v>GQS</v>
          </cell>
          <cell r="Z171">
            <v>80094</v>
          </cell>
          <cell r="AB171" t="str">
            <v>LVDS_WIRE</v>
          </cell>
        </row>
        <row r="172">
          <cell r="S172">
            <v>43061</v>
          </cell>
          <cell r="T172">
            <v>21000</v>
          </cell>
          <cell r="U172">
            <v>165000</v>
          </cell>
          <cell r="W172" t="str">
            <v>GQS</v>
          </cell>
          <cell r="Z172">
            <v>229061</v>
          </cell>
          <cell r="AB172" t="str">
            <v>LED_BAR</v>
          </cell>
        </row>
        <row r="173">
          <cell r="S173">
            <v>60285</v>
          </cell>
          <cell r="T173">
            <v>94500</v>
          </cell>
          <cell r="U173">
            <v>571491</v>
          </cell>
          <cell r="W173" t="str">
            <v>GQS</v>
          </cell>
          <cell r="Z173">
            <v>726276</v>
          </cell>
          <cell r="AB173" t="str">
            <v>PANEL</v>
          </cell>
        </row>
        <row r="174">
          <cell r="S174">
            <v>0</v>
          </cell>
          <cell r="T174">
            <v>0</v>
          </cell>
          <cell r="U174">
            <v>0</v>
          </cell>
          <cell r="W174" t="str">
            <v>GQS</v>
          </cell>
          <cell r="Z174">
            <v>0</v>
          </cell>
          <cell r="AB174" t="str">
            <v>LED_BAR</v>
          </cell>
        </row>
        <row r="175">
          <cell r="S175">
            <v>86122</v>
          </cell>
          <cell r="T175">
            <v>4200</v>
          </cell>
          <cell r="U175">
            <v>670638</v>
          </cell>
          <cell r="W175" t="str">
            <v>GQS</v>
          </cell>
          <cell r="Z175">
            <v>760960</v>
          </cell>
          <cell r="AB175" t="str">
            <v>MAIN_UNIT</v>
          </cell>
        </row>
        <row r="176">
          <cell r="S176">
            <v>43061</v>
          </cell>
          <cell r="T176">
            <v>14700</v>
          </cell>
          <cell r="U176">
            <v>0</v>
          </cell>
          <cell r="W176" t="str">
            <v>GQS</v>
          </cell>
          <cell r="Z176">
            <v>57761</v>
          </cell>
        </row>
        <row r="177">
          <cell r="S177">
            <v>68898</v>
          </cell>
          <cell r="T177">
            <v>42000</v>
          </cell>
          <cell r="U177">
            <v>1373767</v>
          </cell>
          <cell r="W177" t="str">
            <v>GQS</v>
          </cell>
          <cell r="Z177">
            <v>1484665</v>
          </cell>
          <cell r="AB177" t="str">
            <v>PANEL</v>
          </cell>
        </row>
        <row r="178">
          <cell r="S178">
            <v>43061</v>
          </cell>
          <cell r="T178">
            <v>0</v>
          </cell>
          <cell r="U178">
            <v>0</v>
          </cell>
          <cell r="W178" t="str">
            <v>GQS</v>
          </cell>
          <cell r="Z178">
            <v>43061</v>
          </cell>
        </row>
        <row r="179">
          <cell r="S179">
            <v>51673</v>
          </cell>
          <cell r="T179">
            <v>21000</v>
          </cell>
          <cell r="U179">
            <v>1671371</v>
          </cell>
          <cell r="W179" t="str">
            <v>GQS</v>
          </cell>
          <cell r="Z179">
            <v>1744044</v>
          </cell>
          <cell r="AB179" t="str">
            <v>PANEL</v>
          </cell>
        </row>
        <row r="180">
          <cell r="S180">
            <v>0</v>
          </cell>
          <cell r="T180">
            <v>0</v>
          </cell>
          <cell r="U180">
            <v>0</v>
          </cell>
          <cell r="W180" t="str">
            <v>GQS</v>
          </cell>
          <cell r="Z180">
            <v>0</v>
          </cell>
          <cell r="AB180" t="str">
            <v>MAIN_UNIT</v>
          </cell>
        </row>
        <row r="181">
          <cell r="S181">
            <v>43061</v>
          </cell>
          <cell r="T181">
            <v>63000</v>
          </cell>
          <cell r="U181">
            <v>969798</v>
          </cell>
          <cell r="W181" t="str">
            <v>GQS</v>
          </cell>
          <cell r="Z181">
            <v>1075859</v>
          </cell>
          <cell r="AB181" t="str">
            <v>PANEL</v>
          </cell>
        </row>
        <row r="182">
          <cell r="S182">
            <v>43061</v>
          </cell>
          <cell r="T182">
            <v>10500</v>
          </cell>
          <cell r="U182">
            <v>0</v>
          </cell>
          <cell r="W182" t="str">
            <v>GQS</v>
          </cell>
          <cell r="Z182">
            <v>53561</v>
          </cell>
        </row>
        <row r="183">
          <cell r="S183">
            <v>68898</v>
          </cell>
          <cell r="T183">
            <v>4200</v>
          </cell>
          <cell r="U183">
            <v>120105</v>
          </cell>
          <cell r="W183" t="str">
            <v>GQS</v>
          </cell>
          <cell r="Z183">
            <v>193203</v>
          </cell>
          <cell r="AB183" t="str">
            <v>MAIN_UNIT</v>
          </cell>
        </row>
        <row r="184">
          <cell r="S184">
            <v>77510</v>
          </cell>
          <cell r="T184">
            <v>147000</v>
          </cell>
          <cell r="U184">
            <v>969798</v>
          </cell>
          <cell r="W184" t="str">
            <v>GQS</v>
          </cell>
          <cell r="Z184">
            <v>1194308</v>
          </cell>
          <cell r="AB184" t="str">
            <v>PANEL</v>
          </cell>
        </row>
        <row r="185">
          <cell r="S185">
            <v>25837</v>
          </cell>
          <cell r="T185">
            <v>0</v>
          </cell>
          <cell r="U185">
            <v>0</v>
          </cell>
          <cell r="W185" t="str">
            <v>GQS</v>
          </cell>
          <cell r="Z185">
            <v>25837</v>
          </cell>
        </row>
        <row r="186">
          <cell r="S186">
            <v>43061</v>
          </cell>
          <cell r="T186">
            <v>31500</v>
          </cell>
          <cell r="U186">
            <v>1373767</v>
          </cell>
          <cell r="W186" t="str">
            <v>GQS</v>
          </cell>
          <cell r="Z186">
            <v>1448328</v>
          </cell>
          <cell r="AB186" t="str">
            <v>PANEL</v>
          </cell>
        </row>
        <row r="187">
          <cell r="S187">
            <v>86122</v>
          </cell>
          <cell r="T187">
            <v>18900</v>
          </cell>
          <cell r="U187">
            <v>0</v>
          </cell>
          <cell r="W187" t="str">
            <v>GQS</v>
          </cell>
          <cell r="Z187">
            <v>105022</v>
          </cell>
        </row>
        <row r="188">
          <cell r="S188">
            <v>25837</v>
          </cell>
          <cell r="T188">
            <v>23100</v>
          </cell>
          <cell r="U188">
            <v>610638</v>
          </cell>
          <cell r="W188" t="str">
            <v>GQS</v>
          </cell>
          <cell r="Z188">
            <v>659575</v>
          </cell>
          <cell r="AB188" t="str">
            <v>MAIN_UNIT</v>
          </cell>
        </row>
        <row r="189">
          <cell r="S189">
            <v>8612</v>
          </cell>
          <cell r="T189">
            <v>12600</v>
          </cell>
          <cell r="U189">
            <v>0</v>
          </cell>
          <cell r="W189" t="str">
            <v>GQS</v>
          </cell>
          <cell r="Z189">
            <v>21212</v>
          </cell>
        </row>
        <row r="190">
          <cell r="S190">
            <v>8612</v>
          </cell>
          <cell r="T190">
            <v>16800</v>
          </cell>
          <cell r="U190">
            <v>0</v>
          </cell>
          <cell r="W190" t="str">
            <v>GQS</v>
          </cell>
          <cell r="Z190">
            <v>25412</v>
          </cell>
        </row>
        <row r="191">
          <cell r="S191">
            <v>43061</v>
          </cell>
          <cell r="T191">
            <v>21000</v>
          </cell>
          <cell r="U191">
            <v>0</v>
          </cell>
          <cell r="W191" t="str">
            <v>GQS</v>
          </cell>
          <cell r="Z191">
            <v>64061</v>
          </cell>
        </row>
        <row r="192">
          <cell r="S192">
            <v>86122</v>
          </cell>
          <cell r="T192">
            <v>16800</v>
          </cell>
          <cell r="U192">
            <v>102457</v>
          </cell>
          <cell r="W192" t="str">
            <v>GQS</v>
          </cell>
          <cell r="Z192">
            <v>205379</v>
          </cell>
          <cell r="AB192" t="str">
            <v>REMOTE_CONTROL</v>
          </cell>
        </row>
        <row r="193">
          <cell r="S193">
            <v>86122</v>
          </cell>
          <cell r="T193">
            <v>16800</v>
          </cell>
          <cell r="U193">
            <v>2412098</v>
          </cell>
          <cell r="W193" t="str">
            <v>GQS</v>
          </cell>
          <cell r="Z193">
            <v>2515020</v>
          </cell>
          <cell r="AB193" t="str">
            <v>PANEL</v>
          </cell>
        </row>
        <row r="194">
          <cell r="S194">
            <v>43061</v>
          </cell>
          <cell r="T194">
            <v>21000</v>
          </cell>
          <cell r="U194">
            <v>102457</v>
          </cell>
          <cell r="W194" t="str">
            <v>GQS</v>
          </cell>
          <cell r="Z194">
            <v>166518</v>
          </cell>
          <cell r="AB194" t="str">
            <v>REMOTE_CONTROL</v>
          </cell>
        </row>
        <row r="195">
          <cell r="S195">
            <v>25837</v>
          </cell>
          <cell r="T195">
            <v>44100</v>
          </cell>
          <cell r="U195">
            <v>691906</v>
          </cell>
          <cell r="W195" t="str">
            <v>GQS</v>
          </cell>
          <cell r="Z195">
            <v>761843</v>
          </cell>
          <cell r="AB195" t="str">
            <v>MAIN_UNIT</v>
          </cell>
        </row>
        <row r="196">
          <cell r="S196">
            <v>43061</v>
          </cell>
          <cell r="T196">
            <v>42000</v>
          </cell>
          <cell r="U196">
            <v>316600</v>
          </cell>
          <cell r="W196" t="str">
            <v>GQS</v>
          </cell>
          <cell r="Z196">
            <v>401661</v>
          </cell>
          <cell r="AB196" t="str">
            <v>MAIN_UNIT</v>
          </cell>
        </row>
        <row r="197">
          <cell r="S197">
            <v>86122</v>
          </cell>
          <cell r="T197">
            <v>14700</v>
          </cell>
          <cell r="U197">
            <v>974850</v>
          </cell>
          <cell r="W197" t="str">
            <v>GQS</v>
          </cell>
          <cell r="Z197">
            <v>1075672</v>
          </cell>
          <cell r="AB197" t="str">
            <v>MAIN_UNIT</v>
          </cell>
        </row>
        <row r="198">
          <cell r="S198">
            <v>43061</v>
          </cell>
          <cell r="T198">
            <v>21000</v>
          </cell>
          <cell r="U198">
            <v>269146</v>
          </cell>
          <cell r="W198" t="str">
            <v>GQS</v>
          </cell>
          <cell r="Z198">
            <v>333207</v>
          </cell>
          <cell r="AB198" t="str">
            <v>MAIN_UNIT</v>
          </cell>
        </row>
        <row r="199">
          <cell r="S199">
            <v>0</v>
          </cell>
          <cell r="T199">
            <v>0</v>
          </cell>
          <cell r="U199">
            <v>0</v>
          </cell>
          <cell r="W199" t="str">
            <v>GQS</v>
          </cell>
          <cell r="Z199">
            <v>0</v>
          </cell>
          <cell r="AB199" t="str">
            <v>PART_KIT</v>
          </cell>
        </row>
        <row r="200">
          <cell r="S200">
            <v>0</v>
          </cell>
          <cell r="T200">
            <v>0</v>
          </cell>
          <cell r="U200">
            <v>0</v>
          </cell>
          <cell r="W200" t="str">
            <v>GQS</v>
          </cell>
          <cell r="Z200">
            <v>0</v>
          </cell>
          <cell r="AB200" t="str">
            <v>TCON_UNIT</v>
          </cell>
        </row>
        <row r="201">
          <cell r="S201">
            <v>86122</v>
          </cell>
          <cell r="T201">
            <v>52500</v>
          </cell>
          <cell r="U201">
            <v>1820477</v>
          </cell>
          <cell r="W201" t="str">
            <v>GQS</v>
          </cell>
          <cell r="Z201">
            <v>1959099</v>
          </cell>
          <cell r="AB201" t="str">
            <v>PANEL</v>
          </cell>
        </row>
        <row r="202">
          <cell r="S202">
            <v>0</v>
          </cell>
          <cell r="T202">
            <v>0</v>
          </cell>
          <cell r="U202">
            <v>0</v>
          </cell>
          <cell r="W202" t="str">
            <v>GQS</v>
          </cell>
          <cell r="Z202">
            <v>0</v>
          </cell>
          <cell r="AB202" t="str">
            <v>LVDS_WIRE</v>
          </cell>
        </row>
        <row r="203">
          <cell r="S203">
            <v>86122</v>
          </cell>
          <cell r="T203">
            <v>21000</v>
          </cell>
          <cell r="U203">
            <v>27850</v>
          </cell>
          <cell r="W203" t="str">
            <v>GQS</v>
          </cell>
          <cell r="Z203">
            <v>134972</v>
          </cell>
          <cell r="AB203" t="str">
            <v>MAIN_UNIT</v>
          </cell>
        </row>
        <row r="204">
          <cell r="S204">
            <v>43061</v>
          </cell>
          <cell r="T204">
            <v>16800</v>
          </cell>
          <cell r="U204">
            <v>297604</v>
          </cell>
          <cell r="W204" t="str">
            <v>GQS</v>
          </cell>
          <cell r="Z204">
            <v>357465</v>
          </cell>
          <cell r="AB204" t="str">
            <v>MAIN_UNIT</v>
          </cell>
        </row>
        <row r="205">
          <cell r="S205">
            <v>86122</v>
          </cell>
          <cell r="T205">
            <v>21000</v>
          </cell>
          <cell r="U205">
            <v>0</v>
          </cell>
          <cell r="W205" t="str">
            <v>GQS</v>
          </cell>
          <cell r="Z205">
            <v>107122</v>
          </cell>
        </row>
        <row r="206">
          <cell r="S206">
            <v>0</v>
          </cell>
          <cell r="T206">
            <v>0</v>
          </cell>
          <cell r="U206">
            <v>0</v>
          </cell>
          <cell r="W206" t="str">
            <v>GQS</v>
          </cell>
          <cell r="Z206">
            <v>0</v>
          </cell>
          <cell r="AB206" t="str">
            <v>LED_BAR</v>
          </cell>
        </row>
        <row r="207">
          <cell r="S207">
            <v>86122</v>
          </cell>
          <cell r="T207">
            <v>12600</v>
          </cell>
          <cell r="U207">
            <v>710638</v>
          </cell>
          <cell r="W207" t="str">
            <v>GQS</v>
          </cell>
          <cell r="Z207">
            <v>809360</v>
          </cell>
          <cell r="AB207" t="str">
            <v>MAIN_UNIT</v>
          </cell>
        </row>
        <row r="208">
          <cell r="S208">
            <v>25837</v>
          </cell>
          <cell r="T208">
            <v>46200</v>
          </cell>
          <cell r="U208">
            <v>10409</v>
          </cell>
          <cell r="W208" t="str">
            <v>GQS</v>
          </cell>
          <cell r="Z208">
            <v>82446</v>
          </cell>
          <cell r="AB208" t="str">
            <v>REMOTE_CONTROL</v>
          </cell>
        </row>
        <row r="209">
          <cell r="S209">
            <v>86122</v>
          </cell>
          <cell r="T209">
            <v>21000</v>
          </cell>
          <cell r="U209">
            <v>0</v>
          </cell>
          <cell r="W209" t="str">
            <v>GQS</v>
          </cell>
          <cell r="Z209">
            <v>107122</v>
          </cell>
        </row>
        <row r="210">
          <cell r="S210">
            <v>43061</v>
          </cell>
          <cell r="T210">
            <v>0</v>
          </cell>
          <cell r="U210">
            <v>0</v>
          </cell>
          <cell r="W210" t="str">
            <v>GQS</v>
          </cell>
          <cell r="Z210">
            <v>43061</v>
          </cell>
        </row>
        <row r="211">
          <cell r="S211">
            <v>103346</v>
          </cell>
          <cell r="T211">
            <v>84000</v>
          </cell>
          <cell r="U211">
            <v>710637</v>
          </cell>
          <cell r="W211" t="str">
            <v>GQS</v>
          </cell>
          <cell r="Z211">
            <v>897983</v>
          </cell>
          <cell r="AB211" t="str">
            <v>MAIN_UNIT</v>
          </cell>
        </row>
        <row r="212">
          <cell r="S212">
            <v>0</v>
          </cell>
          <cell r="T212">
            <v>0</v>
          </cell>
          <cell r="U212">
            <v>0</v>
          </cell>
          <cell r="W212" t="str">
            <v>GQS</v>
          </cell>
          <cell r="Z212">
            <v>0</v>
          </cell>
          <cell r="AB212" t="str">
            <v>LED_BAR</v>
          </cell>
        </row>
        <row r="213">
          <cell r="S213">
            <v>43061</v>
          </cell>
          <cell r="T213">
            <v>42000</v>
          </cell>
          <cell r="U213">
            <v>235609</v>
          </cell>
          <cell r="W213" t="str">
            <v>GQS</v>
          </cell>
          <cell r="Z213">
            <v>320670</v>
          </cell>
          <cell r="AB213" t="str">
            <v>POWER_UNIT</v>
          </cell>
        </row>
        <row r="214">
          <cell r="S214">
            <v>43061</v>
          </cell>
          <cell r="T214">
            <v>126000</v>
          </cell>
          <cell r="U214">
            <v>691906</v>
          </cell>
          <cell r="W214" t="str">
            <v>GQS</v>
          </cell>
          <cell r="Z214">
            <v>860967</v>
          </cell>
          <cell r="AB214" t="str">
            <v>MAIN_UNIT</v>
          </cell>
        </row>
        <row r="215">
          <cell r="S215">
            <v>43061</v>
          </cell>
          <cell r="T215">
            <v>21000</v>
          </cell>
          <cell r="U215">
            <v>0</v>
          </cell>
          <cell r="W215" t="str">
            <v>GQS</v>
          </cell>
          <cell r="Z215">
            <v>64061</v>
          </cell>
        </row>
        <row r="216">
          <cell r="S216">
            <v>43061</v>
          </cell>
          <cell r="T216">
            <v>21000</v>
          </cell>
          <cell r="U216">
            <v>969798</v>
          </cell>
          <cell r="W216" t="str">
            <v>GQS</v>
          </cell>
          <cell r="Z216">
            <v>1033859</v>
          </cell>
          <cell r="AB216" t="str">
            <v>PANEL</v>
          </cell>
        </row>
        <row r="217">
          <cell r="S217">
            <v>43061</v>
          </cell>
          <cell r="T217">
            <v>21000</v>
          </cell>
          <cell r="U217">
            <v>0</v>
          </cell>
          <cell r="W217" t="str">
            <v>GQS</v>
          </cell>
          <cell r="Z217">
            <v>64061</v>
          </cell>
        </row>
        <row r="218">
          <cell r="S218">
            <v>43061</v>
          </cell>
          <cell r="T218">
            <v>16800</v>
          </cell>
          <cell r="U218">
            <v>0</v>
          </cell>
          <cell r="W218" t="str">
            <v>GQS</v>
          </cell>
          <cell r="Z218">
            <v>59861</v>
          </cell>
        </row>
        <row r="219">
          <cell r="S219">
            <v>43061</v>
          </cell>
          <cell r="T219">
            <v>21000</v>
          </cell>
          <cell r="U219">
            <v>969798</v>
          </cell>
          <cell r="W219" t="str">
            <v>GQS</v>
          </cell>
          <cell r="Z219">
            <v>1033859</v>
          </cell>
          <cell r="AB219" t="str">
            <v>PANEL</v>
          </cell>
        </row>
        <row r="220">
          <cell r="S220">
            <v>86122</v>
          </cell>
          <cell r="T220">
            <v>6300</v>
          </cell>
          <cell r="U220">
            <v>107744</v>
          </cell>
          <cell r="W220" t="str">
            <v>GQS</v>
          </cell>
          <cell r="Z220">
            <v>200166</v>
          </cell>
          <cell r="AB220" t="str">
            <v>MAIN_UNIT</v>
          </cell>
        </row>
        <row r="221">
          <cell r="S221">
            <v>86122</v>
          </cell>
          <cell r="T221">
            <v>63000</v>
          </cell>
          <cell r="U221">
            <v>0</v>
          </cell>
          <cell r="W221" t="str">
            <v>GQS</v>
          </cell>
          <cell r="Z221">
            <v>149122</v>
          </cell>
        </row>
        <row r="222">
          <cell r="S222">
            <v>43061</v>
          </cell>
          <cell r="T222">
            <v>21000</v>
          </cell>
          <cell r="U222">
            <v>0</v>
          </cell>
          <cell r="W222" t="str">
            <v>GQS</v>
          </cell>
          <cell r="Z222">
            <v>64061</v>
          </cell>
        </row>
        <row r="223">
          <cell r="S223">
            <v>25837</v>
          </cell>
          <cell r="T223">
            <v>31500</v>
          </cell>
          <cell r="U223">
            <v>0</v>
          </cell>
          <cell r="W223" t="str">
            <v>GQS</v>
          </cell>
          <cell r="Z223">
            <v>57337</v>
          </cell>
        </row>
        <row r="224">
          <cell r="S224">
            <v>43061</v>
          </cell>
          <cell r="T224">
            <v>52500</v>
          </cell>
          <cell r="U224">
            <v>0</v>
          </cell>
          <cell r="W224" t="str">
            <v>GQS</v>
          </cell>
          <cell r="Z224">
            <v>95561</v>
          </cell>
        </row>
        <row r="225">
          <cell r="S225">
            <v>86122</v>
          </cell>
          <cell r="T225">
            <v>10500</v>
          </cell>
          <cell r="U225">
            <v>0</v>
          </cell>
          <cell r="W225" t="str">
            <v>GQS</v>
          </cell>
          <cell r="Z225">
            <v>96622</v>
          </cell>
        </row>
        <row r="226">
          <cell r="S226">
            <v>43061</v>
          </cell>
          <cell r="T226">
            <v>21000</v>
          </cell>
          <cell r="U226">
            <v>0</v>
          </cell>
          <cell r="W226" t="str">
            <v>GQS</v>
          </cell>
          <cell r="Z226">
            <v>64061</v>
          </cell>
        </row>
        <row r="227">
          <cell r="S227">
            <v>43061</v>
          </cell>
          <cell r="T227">
            <v>0</v>
          </cell>
          <cell r="U227">
            <v>0</v>
          </cell>
          <cell r="W227" t="str">
            <v>GQS</v>
          </cell>
          <cell r="Z227">
            <v>43061</v>
          </cell>
        </row>
        <row r="228">
          <cell r="S228">
            <v>43061</v>
          </cell>
          <cell r="T228">
            <v>105000</v>
          </cell>
          <cell r="U228">
            <v>107745</v>
          </cell>
          <cell r="W228" t="str">
            <v>GQS</v>
          </cell>
          <cell r="Z228">
            <v>255806</v>
          </cell>
          <cell r="AB228" t="str">
            <v>MAIN_UNIT</v>
          </cell>
        </row>
        <row r="229">
          <cell r="S229">
            <v>86122</v>
          </cell>
          <cell r="T229">
            <v>18900</v>
          </cell>
          <cell r="U229">
            <v>102457</v>
          </cell>
          <cell r="W229" t="str">
            <v>GQS</v>
          </cell>
          <cell r="Z229">
            <v>207479</v>
          </cell>
          <cell r="AB229" t="str">
            <v>REMOTE_CONTROL</v>
          </cell>
        </row>
        <row r="230">
          <cell r="S230">
            <v>86122</v>
          </cell>
          <cell r="T230">
            <v>71400</v>
          </cell>
          <cell r="U230">
            <v>1461724</v>
          </cell>
          <cell r="W230" t="str">
            <v>GQS</v>
          </cell>
          <cell r="Z230">
            <v>1619246</v>
          </cell>
          <cell r="AB230" t="str">
            <v>PANEL</v>
          </cell>
        </row>
        <row r="231">
          <cell r="S231">
            <v>43061</v>
          </cell>
          <cell r="T231">
            <v>16800</v>
          </cell>
          <cell r="U231">
            <v>68894</v>
          </cell>
          <cell r="W231" t="str">
            <v>GQS</v>
          </cell>
          <cell r="Z231">
            <v>128755</v>
          </cell>
          <cell r="AB231" t="str">
            <v>TAPE</v>
          </cell>
        </row>
        <row r="232">
          <cell r="S232">
            <v>17224</v>
          </cell>
          <cell r="T232">
            <v>10500</v>
          </cell>
          <cell r="U232">
            <v>0</v>
          </cell>
          <cell r="W232" t="str">
            <v>GQS</v>
          </cell>
          <cell r="Z232">
            <v>27724</v>
          </cell>
        </row>
        <row r="233">
          <cell r="S233">
            <v>43061</v>
          </cell>
          <cell r="T233">
            <v>42000</v>
          </cell>
          <cell r="U233">
            <v>0</v>
          </cell>
          <cell r="W233" t="str">
            <v>GQS</v>
          </cell>
          <cell r="Z233">
            <v>85061</v>
          </cell>
        </row>
        <row r="234">
          <cell r="S234">
            <v>60285</v>
          </cell>
          <cell r="T234">
            <v>73500</v>
          </cell>
          <cell r="U234">
            <v>299936</v>
          </cell>
          <cell r="W234" t="str">
            <v>GQS</v>
          </cell>
          <cell r="Z234">
            <v>433721</v>
          </cell>
          <cell r="AB234" t="str">
            <v>MAIN_UNIT</v>
          </cell>
        </row>
        <row r="235">
          <cell r="S235">
            <v>43061</v>
          </cell>
          <cell r="T235">
            <v>0</v>
          </cell>
          <cell r="U235">
            <v>0</v>
          </cell>
          <cell r="W235" t="str">
            <v>GQS</v>
          </cell>
          <cell r="Z235">
            <v>43061</v>
          </cell>
        </row>
        <row r="236">
          <cell r="S236">
            <v>43061</v>
          </cell>
          <cell r="T236">
            <v>31500</v>
          </cell>
          <cell r="U236">
            <v>1053784</v>
          </cell>
          <cell r="W236" t="str">
            <v>GQS</v>
          </cell>
          <cell r="Z236">
            <v>1128345</v>
          </cell>
          <cell r="AB236" t="str">
            <v>MAIN_UNIT</v>
          </cell>
        </row>
        <row r="237">
          <cell r="S237">
            <v>17224</v>
          </cell>
          <cell r="T237">
            <v>0</v>
          </cell>
          <cell r="U237">
            <v>0</v>
          </cell>
          <cell r="W237" t="str">
            <v>GQS</v>
          </cell>
          <cell r="Z237">
            <v>17224</v>
          </cell>
        </row>
        <row r="238">
          <cell r="S238">
            <v>34449</v>
          </cell>
          <cell r="T238">
            <v>56700</v>
          </cell>
          <cell r="U238">
            <v>569380</v>
          </cell>
          <cell r="W238" t="str">
            <v>GQS</v>
          </cell>
          <cell r="Z238">
            <v>660529</v>
          </cell>
          <cell r="AB238" t="str">
            <v>PANEL</v>
          </cell>
        </row>
        <row r="239">
          <cell r="S239">
            <v>8612</v>
          </cell>
          <cell r="T239">
            <v>0</v>
          </cell>
          <cell r="U239">
            <v>0</v>
          </cell>
          <cell r="W239" t="str">
            <v>GQS</v>
          </cell>
          <cell r="Z239">
            <v>8612</v>
          </cell>
        </row>
        <row r="240">
          <cell r="S240">
            <v>25837</v>
          </cell>
          <cell r="T240">
            <v>18900</v>
          </cell>
          <cell r="U240">
            <v>0</v>
          </cell>
          <cell r="W240" t="str">
            <v>GQS</v>
          </cell>
          <cell r="Z240">
            <v>44737</v>
          </cell>
        </row>
        <row r="241">
          <cell r="S241">
            <v>25837</v>
          </cell>
          <cell r="T241">
            <v>21000</v>
          </cell>
          <cell r="U241">
            <v>0</v>
          </cell>
          <cell r="W241" t="str">
            <v>GQS</v>
          </cell>
          <cell r="Z241">
            <v>46837</v>
          </cell>
        </row>
        <row r="242">
          <cell r="S242">
            <v>34449</v>
          </cell>
          <cell r="T242">
            <v>23100</v>
          </cell>
          <cell r="U242">
            <v>107744</v>
          </cell>
          <cell r="W242" t="str">
            <v>GQS</v>
          </cell>
          <cell r="Z242">
            <v>165293</v>
          </cell>
          <cell r="AB242" t="str">
            <v>MAIN_UNIT</v>
          </cell>
        </row>
        <row r="243">
          <cell r="S243">
            <v>43061</v>
          </cell>
          <cell r="T243">
            <v>0</v>
          </cell>
          <cell r="U243">
            <v>0</v>
          </cell>
          <cell r="W243" t="str">
            <v>GQS</v>
          </cell>
          <cell r="Z243">
            <v>43061</v>
          </cell>
        </row>
        <row r="244">
          <cell r="S244">
            <v>86122</v>
          </cell>
          <cell r="T244">
            <v>21000</v>
          </cell>
          <cell r="U244">
            <v>0</v>
          </cell>
          <cell r="W244" t="str">
            <v>GQS</v>
          </cell>
          <cell r="Z244">
            <v>107122</v>
          </cell>
        </row>
        <row r="245">
          <cell r="S245">
            <v>43061</v>
          </cell>
          <cell r="T245">
            <v>42000</v>
          </cell>
          <cell r="U245">
            <v>522996</v>
          </cell>
          <cell r="W245" t="str">
            <v>GQS</v>
          </cell>
          <cell r="Z245">
            <v>608057</v>
          </cell>
          <cell r="AB245" t="str">
            <v>PANEL</v>
          </cell>
        </row>
        <row r="246">
          <cell r="S246">
            <v>43061</v>
          </cell>
          <cell r="T246">
            <v>63000</v>
          </cell>
          <cell r="U246">
            <v>1573890</v>
          </cell>
          <cell r="W246" t="str">
            <v>GQS</v>
          </cell>
          <cell r="Z246">
            <v>1679951</v>
          </cell>
          <cell r="AB246" t="str">
            <v>PANEL</v>
          </cell>
        </row>
        <row r="247">
          <cell r="S247">
            <v>43061</v>
          </cell>
          <cell r="T247">
            <v>21000</v>
          </cell>
          <cell r="U247">
            <v>0</v>
          </cell>
          <cell r="W247" t="str">
            <v>GQS</v>
          </cell>
          <cell r="Z247">
            <v>64061</v>
          </cell>
        </row>
        <row r="248">
          <cell r="S248">
            <v>68898</v>
          </cell>
          <cell r="T248">
            <v>29400</v>
          </cell>
          <cell r="U248">
            <v>0</v>
          </cell>
          <cell r="W248" t="str">
            <v>GQS</v>
          </cell>
          <cell r="Z248">
            <v>98298</v>
          </cell>
        </row>
        <row r="249">
          <cell r="S249">
            <v>43061</v>
          </cell>
          <cell r="T249">
            <v>31500</v>
          </cell>
          <cell r="U249">
            <v>0</v>
          </cell>
          <cell r="W249" t="str">
            <v>GQS</v>
          </cell>
          <cell r="Z249">
            <v>74561</v>
          </cell>
        </row>
        <row r="250">
          <cell r="S250">
            <v>17224</v>
          </cell>
          <cell r="T250">
            <v>0</v>
          </cell>
          <cell r="U250">
            <v>0</v>
          </cell>
          <cell r="W250" t="str">
            <v>GQS</v>
          </cell>
          <cell r="Z250">
            <v>17224</v>
          </cell>
        </row>
        <row r="251">
          <cell r="S251">
            <v>43061</v>
          </cell>
          <cell r="T251">
            <v>10500</v>
          </cell>
          <cell r="U251">
            <v>0</v>
          </cell>
          <cell r="W251" t="str">
            <v>GQS</v>
          </cell>
          <cell r="Z251">
            <v>53561</v>
          </cell>
        </row>
        <row r="252">
          <cell r="S252">
            <v>25837</v>
          </cell>
          <cell r="T252">
            <v>18900</v>
          </cell>
          <cell r="U252">
            <v>0</v>
          </cell>
          <cell r="W252" t="str">
            <v>GQS</v>
          </cell>
          <cell r="Z252">
            <v>44737</v>
          </cell>
        </row>
        <row r="253">
          <cell r="S253">
            <v>43061</v>
          </cell>
          <cell r="T253">
            <v>25200</v>
          </cell>
          <cell r="U253">
            <v>490572</v>
          </cell>
          <cell r="W253" t="str">
            <v>GQS</v>
          </cell>
          <cell r="Z253">
            <v>558833</v>
          </cell>
          <cell r="AB253" t="str">
            <v>POWER_UNIT</v>
          </cell>
        </row>
        <row r="254">
          <cell r="S254">
            <v>17224</v>
          </cell>
          <cell r="T254">
            <v>0</v>
          </cell>
          <cell r="U254">
            <v>0</v>
          </cell>
          <cell r="W254" t="str">
            <v>GQS</v>
          </cell>
          <cell r="Z254">
            <v>17224</v>
          </cell>
        </row>
        <row r="255">
          <cell r="S255">
            <v>86122</v>
          </cell>
          <cell r="T255">
            <v>18900</v>
          </cell>
          <cell r="U255">
            <v>0</v>
          </cell>
          <cell r="W255" t="str">
            <v>GQS</v>
          </cell>
          <cell r="Z255">
            <v>105022</v>
          </cell>
        </row>
        <row r="256">
          <cell r="S256">
            <v>43061</v>
          </cell>
          <cell r="T256">
            <v>8400</v>
          </cell>
          <cell r="U256">
            <v>0</v>
          </cell>
          <cell r="W256" t="str">
            <v>GQS</v>
          </cell>
          <cell r="Z256">
            <v>51461</v>
          </cell>
        </row>
        <row r="257">
          <cell r="S257">
            <v>43061</v>
          </cell>
          <cell r="T257">
            <v>10500</v>
          </cell>
          <cell r="U257">
            <v>0</v>
          </cell>
          <cell r="W257" t="str">
            <v>GQS</v>
          </cell>
          <cell r="Z257">
            <v>53561</v>
          </cell>
        </row>
        <row r="258">
          <cell r="S258">
            <v>86122</v>
          </cell>
          <cell r="T258">
            <v>0</v>
          </cell>
          <cell r="U258">
            <v>0</v>
          </cell>
          <cell r="W258" t="str">
            <v>GQS</v>
          </cell>
          <cell r="Z258">
            <v>86122</v>
          </cell>
        </row>
        <row r="259">
          <cell r="S259">
            <v>51673</v>
          </cell>
          <cell r="T259">
            <v>16800</v>
          </cell>
          <cell r="U259">
            <v>1055402</v>
          </cell>
          <cell r="W259" t="str">
            <v>GQS</v>
          </cell>
          <cell r="Z259">
            <v>1123875</v>
          </cell>
          <cell r="AB259" t="str">
            <v>MAIN_UNIT</v>
          </cell>
        </row>
        <row r="260">
          <cell r="S260">
            <v>43061</v>
          </cell>
          <cell r="T260">
            <v>42000</v>
          </cell>
          <cell r="U260">
            <v>0</v>
          </cell>
          <cell r="W260" t="str">
            <v>GQS</v>
          </cell>
          <cell r="Z260">
            <v>85061</v>
          </cell>
        </row>
        <row r="261">
          <cell r="S261">
            <v>43061</v>
          </cell>
          <cell r="T261">
            <v>42000</v>
          </cell>
          <cell r="U261">
            <v>297604</v>
          </cell>
          <cell r="W261" t="str">
            <v>GQS</v>
          </cell>
          <cell r="Z261">
            <v>382665</v>
          </cell>
          <cell r="AB261" t="str">
            <v>MAIN_UNIT</v>
          </cell>
        </row>
        <row r="262">
          <cell r="S262">
            <v>43061</v>
          </cell>
          <cell r="T262">
            <v>37800</v>
          </cell>
          <cell r="U262">
            <v>0</v>
          </cell>
          <cell r="W262" t="str">
            <v>GQS</v>
          </cell>
          <cell r="Z262">
            <v>80861</v>
          </cell>
        </row>
        <row r="263">
          <cell r="S263">
            <v>25837</v>
          </cell>
          <cell r="T263">
            <v>18900</v>
          </cell>
          <cell r="U263">
            <v>0</v>
          </cell>
          <cell r="W263" t="str">
            <v>GQS</v>
          </cell>
          <cell r="Z263">
            <v>44737</v>
          </cell>
        </row>
        <row r="264">
          <cell r="S264">
            <v>25837</v>
          </cell>
          <cell r="T264">
            <v>98700</v>
          </cell>
          <cell r="U264">
            <v>0</v>
          </cell>
          <cell r="W264" t="str">
            <v>GQS</v>
          </cell>
          <cell r="Z264">
            <v>124537</v>
          </cell>
        </row>
        <row r="265">
          <cell r="S265">
            <v>43061</v>
          </cell>
          <cell r="T265">
            <v>33600</v>
          </cell>
          <cell r="U265">
            <v>269147</v>
          </cell>
          <cell r="W265" t="str">
            <v>GQS</v>
          </cell>
          <cell r="Z265">
            <v>345808</v>
          </cell>
          <cell r="AB265" t="str">
            <v>MAIN_UNIT</v>
          </cell>
        </row>
        <row r="266">
          <cell r="S266">
            <v>43061</v>
          </cell>
          <cell r="T266">
            <v>21000</v>
          </cell>
          <cell r="U266">
            <v>0</v>
          </cell>
          <cell r="W266" t="str">
            <v>GQS</v>
          </cell>
          <cell r="Z266">
            <v>64061</v>
          </cell>
        </row>
        <row r="267">
          <cell r="S267">
            <v>51673</v>
          </cell>
          <cell r="T267">
            <v>14700</v>
          </cell>
          <cell r="U267">
            <v>610638</v>
          </cell>
          <cell r="W267" t="str">
            <v>GQS</v>
          </cell>
          <cell r="Z267">
            <v>677011</v>
          </cell>
          <cell r="AB267" t="str">
            <v>MAIN_UNIT</v>
          </cell>
        </row>
        <row r="268">
          <cell r="S268">
            <v>25837</v>
          </cell>
          <cell r="T268">
            <v>42000</v>
          </cell>
          <cell r="U268">
            <v>102457</v>
          </cell>
          <cell r="W268" t="str">
            <v>GQS</v>
          </cell>
          <cell r="Z268">
            <v>170294</v>
          </cell>
          <cell r="AB268" t="str">
            <v>REMOTE_CONTROL</v>
          </cell>
        </row>
        <row r="269">
          <cell r="S269">
            <v>86122</v>
          </cell>
          <cell r="T269">
            <v>52500</v>
          </cell>
          <cell r="U269">
            <v>0</v>
          </cell>
          <cell r="W269" t="str">
            <v>GQS</v>
          </cell>
          <cell r="Z269">
            <v>138622</v>
          </cell>
        </row>
        <row r="270">
          <cell r="S270">
            <v>43061</v>
          </cell>
          <cell r="T270">
            <v>48300</v>
          </cell>
          <cell r="U270">
            <v>969798</v>
          </cell>
          <cell r="W270" t="str">
            <v>GQS</v>
          </cell>
          <cell r="Z270">
            <v>1061159</v>
          </cell>
          <cell r="AB270" t="str">
            <v>PANEL</v>
          </cell>
        </row>
        <row r="271">
          <cell r="S271">
            <v>43061</v>
          </cell>
          <cell r="T271">
            <v>37800</v>
          </cell>
          <cell r="U271">
            <v>969798</v>
          </cell>
          <cell r="W271" t="str">
            <v>GQS</v>
          </cell>
          <cell r="Z271">
            <v>1050659</v>
          </cell>
          <cell r="AB271" t="str">
            <v>PANEL</v>
          </cell>
        </row>
        <row r="272">
          <cell r="S272">
            <v>34449</v>
          </cell>
          <cell r="T272">
            <v>42000</v>
          </cell>
          <cell r="U272">
            <v>0</v>
          </cell>
          <cell r="W272" t="str">
            <v>GQS</v>
          </cell>
          <cell r="Z272">
            <v>76449</v>
          </cell>
        </row>
        <row r="273">
          <cell r="S273">
            <v>86122</v>
          </cell>
          <cell r="T273">
            <v>21000</v>
          </cell>
          <cell r="U273">
            <v>969798</v>
          </cell>
          <cell r="W273" t="str">
            <v>GQS</v>
          </cell>
          <cell r="Z273">
            <v>1076920</v>
          </cell>
          <cell r="AB273" t="str">
            <v>PANEL</v>
          </cell>
        </row>
        <row r="274">
          <cell r="S274">
            <v>43061</v>
          </cell>
          <cell r="T274">
            <v>0</v>
          </cell>
          <cell r="U274">
            <v>0</v>
          </cell>
          <cell r="W274" t="str">
            <v>GQS</v>
          </cell>
          <cell r="Z274">
            <v>43061</v>
          </cell>
        </row>
        <row r="275">
          <cell r="S275">
            <v>86122</v>
          </cell>
          <cell r="T275">
            <v>25200</v>
          </cell>
          <cell r="U275">
            <v>522997</v>
          </cell>
          <cell r="W275" t="str">
            <v>GQS</v>
          </cell>
          <cell r="Z275">
            <v>634319</v>
          </cell>
          <cell r="AB275" t="str">
            <v>PANEL</v>
          </cell>
        </row>
        <row r="276">
          <cell r="S276">
            <v>25837</v>
          </cell>
          <cell r="T276">
            <v>21000</v>
          </cell>
          <cell r="U276">
            <v>0</v>
          </cell>
          <cell r="W276" t="str">
            <v>GQS</v>
          </cell>
          <cell r="Z276">
            <v>46837</v>
          </cell>
        </row>
        <row r="277">
          <cell r="S277">
            <v>8612</v>
          </cell>
          <cell r="T277">
            <v>0</v>
          </cell>
          <cell r="U277">
            <v>0</v>
          </cell>
          <cell r="W277" t="str">
            <v>GQS</v>
          </cell>
          <cell r="Z277">
            <v>8612</v>
          </cell>
        </row>
        <row r="278">
          <cell r="S278">
            <v>8612</v>
          </cell>
          <cell r="T278">
            <v>0</v>
          </cell>
          <cell r="U278">
            <v>0</v>
          </cell>
          <cell r="W278" t="str">
            <v>GQS</v>
          </cell>
          <cell r="Z278">
            <v>8612</v>
          </cell>
        </row>
        <row r="279">
          <cell r="S279">
            <v>43061</v>
          </cell>
          <cell r="T279">
            <v>21000</v>
          </cell>
          <cell r="U279">
            <v>1055402</v>
          </cell>
          <cell r="W279" t="str">
            <v>GQS</v>
          </cell>
          <cell r="Z279">
            <v>1119463</v>
          </cell>
          <cell r="AB279" t="str">
            <v>MAIN_UNIT</v>
          </cell>
        </row>
        <row r="280">
          <cell r="S280">
            <v>51673</v>
          </cell>
          <cell r="T280">
            <v>46200</v>
          </cell>
          <cell r="U280">
            <v>969798</v>
          </cell>
          <cell r="W280" t="str">
            <v>GQS</v>
          </cell>
          <cell r="Z280">
            <v>1067671</v>
          </cell>
          <cell r="AB280" t="str">
            <v>PANEL</v>
          </cell>
        </row>
        <row r="281">
          <cell r="S281">
            <v>25837</v>
          </cell>
          <cell r="T281">
            <v>10500</v>
          </cell>
          <cell r="U281">
            <v>120105</v>
          </cell>
          <cell r="W281" t="str">
            <v>GQS</v>
          </cell>
          <cell r="Z281">
            <v>156442</v>
          </cell>
          <cell r="AB281" t="str">
            <v>MAIN_UNIT</v>
          </cell>
        </row>
        <row r="282">
          <cell r="S282">
            <v>25837</v>
          </cell>
          <cell r="T282">
            <v>0</v>
          </cell>
          <cell r="U282">
            <v>0</v>
          </cell>
          <cell r="W282" t="str">
            <v>GQS</v>
          </cell>
          <cell r="Z282">
            <v>25837</v>
          </cell>
        </row>
        <row r="283">
          <cell r="S283">
            <v>86122</v>
          </cell>
          <cell r="T283">
            <v>31500</v>
          </cell>
          <cell r="U283">
            <v>0</v>
          </cell>
          <cell r="W283" t="str">
            <v>GQS</v>
          </cell>
          <cell r="Z283">
            <v>117622</v>
          </cell>
        </row>
        <row r="284">
          <cell r="S284">
            <v>43061</v>
          </cell>
          <cell r="T284">
            <v>8400</v>
          </cell>
          <cell r="U284">
            <v>0</v>
          </cell>
          <cell r="W284" t="str">
            <v>GQS</v>
          </cell>
          <cell r="Z284">
            <v>51461</v>
          </cell>
        </row>
        <row r="285">
          <cell r="S285">
            <v>86122</v>
          </cell>
          <cell r="T285">
            <v>21000</v>
          </cell>
          <cell r="U285">
            <v>522997</v>
          </cell>
          <cell r="W285" t="str">
            <v>GQS</v>
          </cell>
          <cell r="Z285">
            <v>630119</v>
          </cell>
          <cell r="AB285" t="str">
            <v>PANEL</v>
          </cell>
        </row>
        <row r="286">
          <cell r="S286">
            <v>86122</v>
          </cell>
          <cell r="T286">
            <v>14700</v>
          </cell>
          <cell r="U286">
            <v>602572</v>
          </cell>
          <cell r="W286" t="str">
            <v>GQS</v>
          </cell>
          <cell r="Z286">
            <v>703394</v>
          </cell>
          <cell r="AB286" t="str">
            <v>MAIN_UNIT</v>
          </cell>
        </row>
        <row r="287">
          <cell r="S287">
            <v>43061</v>
          </cell>
          <cell r="T287">
            <v>31500</v>
          </cell>
          <cell r="U287">
            <v>490572</v>
          </cell>
          <cell r="W287" t="str">
            <v>GQS</v>
          </cell>
          <cell r="Z287">
            <v>565133</v>
          </cell>
          <cell r="AB287" t="str">
            <v>POWER_UNIT</v>
          </cell>
        </row>
        <row r="288">
          <cell r="S288">
            <v>43061</v>
          </cell>
          <cell r="T288">
            <v>21000</v>
          </cell>
          <cell r="U288">
            <v>0</v>
          </cell>
          <cell r="W288" t="str">
            <v>GQS</v>
          </cell>
          <cell r="Z288">
            <v>64061</v>
          </cell>
        </row>
        <row r="289">
          <cell r="S289">
            <v>43061</v>
          </cell>
          <cell r="T289">
            <v>18900</v>
          </cell>
          <cell r="U289">
            <v>0</v>
          </cell>
          <cell r="W289" t="str">
            <v>GQS</v>
          </cell>
          <cell r="Z289">
            <v>61961</v>
          </cell>
        </row>
        <row r="290">
          <cell r="S290">
            <v>43061</v>
          </cell>
          <cell r="T290">
            <v>16800</v>
          </cell>
          <cell r="U290">
            <v>0</v>
          </cell>
          <cell r="W290" t="str">
            <v>GQS</v>
          </cell>
          <cell r="Z290">
            <v>59861</v>
          </cell>
        </row>
        <row r="291">
          <cell r="S291">
            <v>43061</v>
          </cell>
          <cell r="T291">
            <v>21000</v>
          </cell>
          <cell r="U291">
            <v>1053784</v>
          </cell>
          <cell r="W291" t="str">
            <v>GQS</v>
          </cell>
          <cell r="Z291">
            <v>1117845</v>
          </cell>
          <cell r="AB291" t="str">
            <v>MAIN_UNIT</v>
          </cell>
        </row>
        <row r="292">
          <cell r="S292">
            <v>43061</v>
          </cell>
          <cell r="T292">
            <v>126000</v>
          </cell>
          <cell r="U292">
            <v>0</v>
          </cell>
          <cell r="W292" t="str">
            <v>GQS</v>
          </cell>
          <cell r="Z292">
            <v>169061</v>
          </cell>
        </row>
        <row r="293">
          <cell r="S293">
            <v>43061</v>
          </cell>
          <cell r="T293">
            <v>126000</v>
          </cell>
          <cell r="U293">
            <v>0</v>
          </cell>
          <cell r="W293" t="str">
            <v>GQS</v>
          </cell>
          <cell r="Z293">
            <v>169061</v>
          </cell>
        </row>
        <row r="294">
          <cell r="S294">
            <v>17224</v>
          </cell>
          <cell r="T294">
            <v>58800</v>
          </cell>
          <cell r="U294">
            <v>0</v>
          </cell>
          <cell r="W294" t="str">
            <v>GQS</v>
          </cell>
          <cell r="Z294">
            <v>76024</v>
          </cell>
        </row>
        <row r="295">
          <cell r="S295">
            <v>43061</v>
          </cell>
          <cell r="T295">
            <v>21000</v>
          </cell>
          <cell r="U295">
            <v>0</v>
          </cell>
          <cell r="W295" t="str">
            <v>GQS</v>
          </cell>
          <cell r="Z295">
            <v>64061</v>
          </cell>
        </row>
        <row r="296">
          <cell r="S296">
            <v>51673</v>
          </cell>
          <cell r="T296">
            <v>10500</v>
          </cell>
          <cell r="U296">
            <v>0</v>
          </cell>
          <cell r="W296" t="str">
            <v>GQS</v>
          </cell>
          <cell r="Z296">
            <v>62173</v>
          </cell>
        </row>
        <row r="297">
          <cell r="S297">
            <v>86122</v>
          </cell>
          <cell r="T297">
            <v>17850</v>
          </cell>
          <cell r="U297">
            <v>969798</v>
          </cell>
          <cell r="W297" t="str">
            <v>GQS</v>
          </cell>
          <cell r="Z297">
            <v>1073770</v>
          </cell>
          <cell r="AB297" t="str">
            <v>PANEL</v>
          </cell>
        </row>
        <row r="298">
          <cell r="S298">
            <v>17224</v>
          </cell>
          <cell r="T298">
            <v>0</v>
          </cell>
          <cell r="U298">
            <v>0</v>
          </cell>
          <cell r="W298" t="str">
            <v>GQS</v>
          </cell>
          <cell r="Z298">
            <v>17224</v>
          </cell>
        </row>
        <row r="299">
          <cell r="S299">
            <v>60285</v>
          </cell>
          <cell r="T299">
            <v>37800</v>
          </cell>
          <cell r="U299">
            <v>52000</v>
          </cell>
          <cell r="W299" t="str">
            <v>GQS</v>
          </cell>
          <cell r="Z299">
            <v>150085</v>
          </cell>
          <cell r="AB299" t="str">
            <v>TAPE</v>
          </cell>
        </row>
        <row r="300">
          <cell r="S300">
            <v>86122</v>
          </cell>
          <cell r="T300">
            <v>18900</v>
          </cell>
          <cell r="U300">
            <v>5393504</v>
          </cell>
          <cell r="W300" t="str">
            <v>GQS</v>
          </cell>
          <cell r="Z300">
            <v>5498526</v>
          </cell>
          <cell r="AB300" t="str">
            <v>PANEL</v>
          </cell>
        </row>
        <row r="301">
          <cell r="S301">
            <v>25837</v>
          </cell>
          <cell r="T301">
            <v>18900</v>
          </cell>
          <cell r="U301">
            <v>0</v>
          </cell>
          <cell r="W301" t="str">
            <v>GQS</v>
          </cell>
          <cell r="Z301">
            <v>44737</v>
          </cell>
        </row>
        <row r="302">
          <cell r="S302">
            <v>43061</v>
          </cell>
          <cell r="T302">
            <v>0</v>
          </cell>
          <cell r="U302">
            <v>0</v>
          </cell>
          <cell r="W302" t="str">
            <v>GQS</v>
          </cell>
          <cell r="Z302">
            <v>43061</v>
          </cell>
        </row>
        <row r="303">
          <cell r="S303">
            <v>77510</v>
          </cell>
          <cell r="T303">
            <v>21000</v>
          </cell>
          <cell r="U303">
            <v>0</v>
          </cell>
          <cell r="W303" t="str">
            <v>GQS</v>
          </cell>
          <cell r="Z303">
            <v>98510</v>
          </cell>
        </row>
        <row r="304">
          <cell r="S304">
            <v>86122</v>
          </cell>
          <cell r="T304">
            <v>115500</v>
          </cell>
          <cell r="U304">
            <v>107745</v>
          </cell>
          <cell r="W304" t="str">
            <v>GQS</v>
          </cell>
          <cell r="Z304">
            <v>309367</v>
          </cell>
          <cell r="AB304" t="str">
            <v>MAIN_UNIT</v>
          </cell>
        </row>
        <row r="305">
          <cell r="S305">
            <v>86122</v>
          </cell>
          <cell r="T305">
            <v>31500</v>
          </cell>
          <cell r="U305">
            <v>0</v>
          </cell>
          <cell r="W305" t="str">
            <v>GQS</v>
          </cell>
          <cell r="Z305">
            <v>117622</v>
          </cell>
        </row>
        <row r="306">
          <cell r="S306">
            <v>43061</v>
          </cell>
          <cell r="T306">
            <v>25200</v>
          </cell>
          <cell r="U306">
            <v>0</v>
          </cell>
          <cell r="W306" t="str">
            <v>GQS</v>
          </cell>
          <cell r="Z306">
            <v>68261</v>
          </cell>
        </row>
        <row r="307">
          <cell r="S307">
            <v>25837</v>
          </cell>
          <cell r="T307">
            <v>0</v>
          </cell>
          <cell r="U307">
            <v>0</v>
          </cell>
          <cell r="W307" t="str">
            <v>GQS</v>
          </cell>
          <cell r="Z307">
            <v>25837</v>
          </cell>
        </row>
        <row r="308">
          <cell r="S308">
            <v>43061</v>
          </cell>
          <cell r="T308">
            <v>79800</v>
          </cell>
          <cell r="U308">
            <v>522996</v>
          </cell>
          <cell r="W308" t="str">
            <v>GQS</v>
          </cell>
          <cell r="Z308">
            <v>645857</v>
          </cell>
          <cell r="AB308" t="str">
            <v>PANEL</v>
          </cell>
        </row>
        <row r="309">
          <cell r="S309">
            <v>86122</v>
          </cell>
          <cell r="T309">
            <v>21000</v>
          </cell>
          <cell r="U309">
            <v>1461724</v>
          </cell>
          <cell r="W309" t="str">
            <v>GQS</v>
          </cell>
          <cell r="Z309">
            <v>1568846</v>
          </cell>
          <cell r="AB309" t="str">
            <v>PANEL</v>
          </cell>
        </row>
        <row r="310">
          <cell r="S310">
            <v>25837</v>
          </cell>
          <cell r="T310">
            <v>121800</v>
          </cell>
          <cell r="U310">
            <v>0</v>
          </cell>
          <cell r="W310" t="str">
            <v>GQS</v>
          </cell>
          <cell r="Z310">
            <v>147637</v>
          </cell>
        </row>
        <row r="311">
          <cell r="S311">
            <v>17224</v>
          </cell>
          <cell r="T311">
            <v>0</v>
          </cell>
          <cell r="U311">
            <v>0</v>
          </cell>
          <cell r="W311" t="str">
            <v>GQS</v>
          </cell>
          <cell r="Z311">
            <v>17224</v>
          </cell>
        </row>
        <row r="312">
          <cell r="S312">
            <v>86122</v>
          </cell>
          <cell r="T312">
            <v>25200</v>
          </cell>
          <cell r="U312">
            <v>522997</v>
          </cell>
          <cell r="W312" t="str">
            <v>GQS</v>
          </cell>
          <cell r="Z312">
            <v>634319</v>
          </cell>
          <cell r="AB312" t="str">
            <v>PANEL</v>
          </cell>
        </row>
        <row r="313">
          <cell r="S313">
            <v>17224</v>
          </cell>
          <cell r="T313">
            <v>0</v>
          </cell>
          <cell r="U313">
            <v>0</v>
          </cell>
          <cell r="W313" t="str">
            <v>GQS</v>
          </cell>
          <cell r="Z313">
            <v>17224</v>
          </cell>
        </row>
        <row r="314">
          <cell r="S314">
            <v>68898</v>
          </cell>
          <cell r="T314">
            <v>35700</v>
          </cell>
          <cell r="U314">
            <v>2023582</v>
          </cell>
          <cell r="W314" t="str">
            <v>GQS</v>
          </cell>
          <cell r="Z314">
            <v>2128180</v>
          </cell>
          <cell r="AB314" t="str">
            <v>PANEL</v>
          </cell>
        </row>
        <row r="315">
          <cell r="S315">
            <v>0</v>
          </cell>
          <cell r="T315">
            <v>0</v>
          </cell>
          <cell r="U315">
            <v>0</v>
          </cell>
          <cell r="W315" t="str">
            <v>GQS</v>
          </cell>
          <cell r="Z315">
            <v>0</v>
          </cell>
          <cell r="AB315" t="str">
            <v>MAIN_UNIT</v>
          </cell>
        </row>
        <row r="316">
          <cell r="S316">
            <v>43061</v>
          </cell>
          <cell r="T316">
            <v>0</v>
          </cell>
          <cell r="U316">
            <v>0</v>
          </cell>
          <cell r="W316" t="str">
            <v>GQS</v>
          </cell>
          <cell r="Z316">
            <v>43061</v>
          </cell>
        </row>
        <row r="317">
          <cell r="S317">
            <v>43061</v>
          </cell>
          <cell r="T317">
            <v>0</v>
          </cell>
          <cell r="U317">
            <v>0</v>
          </cell>
          <cell r="W317" t="str">
            <v>GQS</v>
          </cell>
          <cell r="Z317">
            <v>43061</v>
          </cell>
        </row>
        <row r="318">
          <cell r="S318">
            <v>86122</v>
          </cell>
          <cell r="T318">
            <v>21000</v>
          </cell>
          <cell r="U318">
            <v>1461724</v>
          </cell>
          <cell r="W318" t="str">
            <v>GQS</v>
          </cell>
          <cell r="Z318">
            <v>1568846</v>
          </cell>
          <cell r="AB318" t="str">
            <v>PANEL</v>
          </cell>
        </row>
        <row r="319">
          <cell r="S319">
            <v>86122</v>
          </cell>
          <cell r="T319">
            <v>42000</v>
          </cell>
          <cell r="U319">
            <v>0</v>
          </cell>
          <cell r="W319" t="str">
            <v>GQS</v>
          </cell>
          <cell r="Z319">
            <v>128122</v>
          </cell>
        </row>
        <row r="320">
          <cell r="S320">
            <v>34449</v>
          </cell>
          <cell r="T320">
            <v>21000</v>
          </cell>
          <cell r="U320">
            <v>0</v>
          </cell>
          <cell r="W320" t="str">
            <v>GQS</v>
          </cell>
          <cell r="Z320">
            <v>55449</v>
          </cell>
        </row>
        <row r="321">
          <cell r="S321">
            <v>60285</v>
          </cell>
          <cell r="T321">
            <v>147000</v>
          </cell>
          <cell r="U321">
            <v>297604</v>
          </cell>
          <cell r="W321" t="str">
            <v>GQS</v>
          </cell>
          <cell r="Z321">
            <v>504889</v>
          </cell>
          <cell r="AB321" t="str">
            <v>MAIN_UNIT</v>
          </cell>
        </row>
        <row r="322">
          <cell r="S322">
            <v>86122</v>
          </cell>
          <cell r="T322">
            <v>42000</v>
          </cell>
          <cell r="U322">
            <v>299936</v>
          </cell>
          <cell r="W322" t="str">
            <v>GQS</v>
          </cell>
          <cell r="Z322">
            <v>428058</v>
          </cell>
          <cell r="AB322" t="str">
            <v>MAIN_UNIT</v>
          </cell>
        </row>
        <row r="323">
          <cell r="S323">
            <v>86122</v>
          </cell>
          <cell r="T323">
            <v>42000</v>
          </cell>
          <cell r="U323">
            <v>969798</v>
          </cell>
          <cell r="W323" t="str">
            <v>GQS</v>
          </cell>
          <cell r="Z323">
            <v>1097920</v>
          </cell>
          <cell r="AB323" t="str">
            <v>PANEL</v>
          </cell>
        </row>
        <row r="324">
          <cell r="S324">
            <v>0</v>
          </cell>
          <cell r="T324">
            <v>0</v>
          </cell>
          <cell r="U324">
            <v>0</v>
          </cell>
          <cell r="W324" t="str">
            <v>GQS</v>
          </cell>
          <cell r="Z324">
            <v>0</v>
          </cell>
          <cell r="AB324" t="str">
            <v>TAPE</v>
          </cell>
        </row>
        <row r="325">
          <cell r="S325">
            <v>43061</v>
          </cell>
          <cell r="T325">
            <v>31500</v>
          </cell>
          <cell r="U325">
            <v>687788</v>
          </cell>
          <cell r="W325" t="str">
            <v>GQS</v>
          </cell>
          <cell r="Z325">
            <v>762349</v>
          </cell>
          <cell r="AB325" t="str">
            <v>PANEL</v>
          </cell>
        </row>
        <row r="326">
          <cell r="S326">
            <v>43061</v>
          </cell>
          <cell r="T326">
            <v>21000</v>
          </cell>
          <cell r="U326">
            <v>12469</v>
          </cell>
          <cell r="W326" t="str">
            <v>GQS</v>
          </cell>
          <cell r="Z326">
            <v>76530</v>
          </cell>
          <cell r="AB326" t="str">
            <v>REMOTE_CONTROL</v>
          </cell>
        </row>
        <row r="327">
          <cell r="S327">
            <v>43061</v>
          </cell>
          <cell r="T327">
            <v>73500</v>
          </cell>
          <cell r="U327">
            <v>972376</v>
          </cell>
          <cell r="W327" t="str">
            <v>GQS</v>
          </cell>
          <cell r="Z327">
            <v>1088937</v>
          </cell>
          <cell r="AB327" t="str">
            <v>MAIN_UNIT</v>
          </cell>
        </row>
        <row r="328">
          <cell r="S328">
            <v>17224</v>
          </cell>
          <cell r="T328">
            <v>0</v>
          </cell>
          <cell r="U328">
            <v>0</v>
          </cell>
          <cell r="W328" t="str">
            <v>GQS</v>
          </cell>
          <cell r="Z328">
            <v>17224</v>
          </cell>
        </row>
        <row r="329">
          <cell r="S329">
            <v>43061</v>
          </cell>
          <cell r="T329">
            <v>42000</v>
          </cell>
          <cell r="U329">
            <v>0</v>
          </cell>
          <cell r="W329" t="str">
            <v>GQS</v>
          </cell>
          <cell r="Z329">
            <v>85061</v>
          </cell>
        </row>
        <row r="330">
          <cell r="S330">
            <v>43061</v>
          </cell>
          <cell r="T330">
            <v>21000</v>
          </cell>
          <cell r="U330">
            <v>0</v>
          </cell>
          <cell r="W330" t="str">
            <v>GQS</v>
          </cell>
          <cell r="Z330">
            <v>64061</v>
          </cell>
        </row>
        <row r="331">
          <cell r="S331">
            <v>0</v>
          </cell>
          <cell r="T331">
            <v>0</v>
          </cell>
          <cell r="U331">
            <v>0</v>
          </cell>
          <cell r="W331" t="str">
            <v>GQS</v>
          </cell>
          <cell r="Z331">
            <v>0</v>
          </cell>
          <cell r="AB331" t="str">
            <v>TAPE</v>
          </cell>
        </row>
        <row r="332">
          <cell r="S332">
            <v>51673</v>
          </cell>
          <cell r="T332">
            <v>27300</v>
          </cell>
          <cell r="U332">
            <v>1956330</v>
          </cell>
          <cell r="W332" t="str">
            <v>GQS</v>
          </cell>
          <cell r="Z332">
            <v>2035303</v>
          </cell>
          <cell r="AB332" t="str">
            <v>PANEL</v>
          </cell>
        </row>
        <row r="333">
          <cell r="S333">
            <v>43061</v>
          </cell>
          <cell r="T333">
            <v>6300</v>
          </cell>
          <cell r="U333">
            <v>0</v>
          </cell>
          <cell r="W333" t="str">
            <v>GQS</v>
          </cell>
          <cell r="Z333">
            <v>49361</v>
          </cell>
        </row>
        <row r="334">
          <cell r="S334">
            <v>51673</v>
          </cell>
          <cell r="T334">
            <v>6300</v>
          </cell>
          <cell r="U334">
            <v>1373768</v>
          </cell>
          <cell r="W334" t="str">
            <v>GQS</v>
          </cell>
          <cell r="Z334">
            <v>1431741</v>
          </cell>
          <cell r="AB334" t="str">
            <v>PANEL</v>
          </cell>
        </row>
        <row r="335">
          <cell r="S335">
            <v>43061</v>
          </cell>
          <cell r="T335">
            <v>21000</v>
          </cell>
          <cell r="U335">
            <v>0</v>
          </cell>
          <cell r="W335" t="str">
            <v>GQS</v>
          </cell>
          <cell r="Z335">
            <v>64061</v>
          </cell>
        </row>
        <row r="336">
          <cell r="S336">
            <v>43061</v>
          </cell>
          <cell r="T336">
            <v>21000</v>
          </cell>
          <cell r="U336">
            <v>0</v>
          </cell>
          <cell r="W336" t="str">
            <v>GQS</v>
          </cell>
          <cell r="Z336">
            <v>64061</v>
          </cell>
        </row>
        <row r="337">
          <cell r="S337">
            <v>43061</v>
          </cell>
          <cell r="T337">
            <v>21000</v>
          </cell>
          <cell r="U337">
            <v>0</v>
          </cell>
          <cell r="W337" t="str">
            <v>GQS</v>
          </cell>
          <cell r="Z337">
            <v>64061</v>
          </cell>
        </row>
        <row r="338">
          <cell r="S338">
            <v>43061</v>
          </cell>
          <cell r="T338">
            <v>21000</v>
          </cell>
          <cell r="U338">
            <v>1024798</v>
          </cell>
          <cell r="W338" t="str">
            <v>GQS</v>
          </cell>
          <cell r="Z338">
            <v>1088859</v>
          </cell>
          <cell r="AB338" t="str">
            <v>PANEL</v>
          </cell>
        </row>
        <row r="339">
          <cell r="S339">
            <v>0</v>
          </cell>
          <cell r="T339">
            <v>0</v>
          </cell>
          <cell r="U339">
            <v>0</v>
          </cell>
          <cell r="W339" t="str">
            <v>GQS</v>
          </cell>
          <cell r="Z339">
            <v>0</v>
          </cell>
          <cell r="AB339" t="str">
            <v>LED_BAR</v>
          </cell>
        </row>
        <row r="340">
          <cell r="S340">
            <v>43061</v>
          </cell>
          <cell r="T340">
            <v>21000</v>
          </cell>
          <cell r="U340">
            <v>0</v>
          </cell>
          <cell r="W340" t="str">
            <v>GQS</v>
          </cell>
          <cell r="Z340">
            <v>64061</v>
          </cell>
        </row>
        <row r="341">
          <cell r="S341">
            <v>43061</v>
          </cell>
          <cell r="T341">
            <v>21000</v>
          </cell>
          <cell r="U341">
            <v>0</v>
          </cell>
          <cell r="W341" t="str">
            <v>GQS</v>
          </cell>
          <cell r="Z341">
            <v>64061</v>
          </cell>
        </row>
        <row r="342">
          <cell r="S342">
            <v>0</v>
          </cell>
          <cell r="T342">
            <v>0</v>
          </cell>
          <cell r="U342">
            <v>0</v>
          </cell>
          <cell r="W342" t="str">
            <v>GQS</v>
          </cell>
          <cell r="Z342">
            <v>0</v>
          </cell>
          <cell r="AB342" t="str">
            <v>TAPE</v>
          </cell>
        </row>
        <row r="343">
          <cell r="S343">
            <v>43061</v>
          </cell>
          <cell r="T343">
            <v>77700</v>
          </cell>
          <cell r="U343">
            <v>1067067</v>
          </cell>
          <cell r="W343" t="str">
            <v>GQS</v>
          </cell>
          <cell r="Z343">
            <v>1187828</v>
          </cell>
          <cell r="AB343" t="str">
            <v>PANEL</v>
          </cell>
        </row>
        <row r="344">
          <cell r="S344">
            <v>43061</v>
          </cell>
          <cell r="T344">
            <v>21000</v>
          </cell>
          <cell r="U344">
            <v>0</v>
          </cell>
          <cell r="W344" t="str">
            <v>GQS</v>
          </cell>
          <cell r="Z344">
            <v>64061</v>
          </cell>
        </row>
        <row r="345">
          <cell r="S345">
            <v>43061</v>
          </cell>
          <cell r="T345">
            <v>21000</v>
          </cell>
          <cell r="U345">
            <v>0</v>
          </cell>
          <cell r="W345" t="str">
            <v>GQS</v>
          </cell>
          <cell r="Z345">
            <v>64061</v>
          </cell>
        </row>
        <row r="346">
          <cell r="S346">
            <v>25837</v>
          </cell>
          <cell r="T346">
            <v>126000</v>
          </cell>
          <cell r="U346">
            <v>0</v>
          </cell>
          <cell r="W346" t="str">
            <v>GQS</v>
          </cell>
          <cell r="Z346">
            <v>151837</v>
          </cell>
        </row>
        <row r="347">
          <cell r="S347">
            <v>0</v>
          </cell>
          <cell r="T347">
            <v>0</v>
          </cell>
          <cell r="U347">
            <v>0</v>
          </cell>
          <cell r="W347" t="str">
            <v>GQS</v>
          </cell>
          <cell r="Z347">
            <v>0</v>
          </cell>
          <cell r="AB347" t="str">
            <v>TAPE</v>
          </cell>
        </row>
        <row r="348">
          <cell r="S348">
            <v>43061</v>
          </cell>
          <cell r="T348">
            <v>31500</v>
          </cell>
          <cell r="U348">
            <v>591890</v>
          </cell>
          <cell r="W348" t="str">
            <v>GQS</v>
          </cell>
          <cell r="Z348">
            <v>666451</v>
          </cell>
          <cell r="AB348" t="str">
            <v>PANEL</v>
          </cell>
        </row>
        <row r="349">
          <cell r="S349">
            <v>8612</v>
          </cell>
          <cell r="T349">
            <v>25200</v>
          </cell>
          <cell r="U349">
            <v>10409</v>
          </cell>
          <cell r="W349" t="str">
            <v>GQS</v>
          </cell>
          <cell r="Z349">
            <v>44221</v>
          </cell>
          <cell r="AB349" t="str">
            <v>REMOTE_CONTROL</v>
          </cell>
        </row>
        <row r="350">
          <cell r="S350">
            <v>25837</v>
          </cell>
          <cell r="T350">
            <v>31500</v>
          </cell>
          <cell r="U350">
            <v>0</v>
          </cell>
          <cell r="W350" t="str">
            <v>GQS</v>
          </cell>
          <cell r="Z350">
            <v>57337</v>
          </cell>
        </row>
        <row r="351">
          <cell r="S351">
            <v>43061</v>
          </cell>
          <cell r="T351">
            <v>21000</v>
          </cell>
          <cell r="U351">
            <v>316601</v>
          </cell>
          <cell r="W351" t="str">
            <v>GQS</v>
          </cell>
          <cell r="Z351">
            <v>380662</v>
          </cell>
          <cell r="AB351" t="str">
            <v>MAIN_UNIT</v>
          </cell>
        </row>
        <row r="352">
          <cell r="S352">
            <v>43061</v>
          </cell>
          <cell r="T352">
            <v>79800</v>
          </cell>
          <cell r="U352">
            <v>0</v>
          </cell>
          <cell r="W352" t="str">
            <v>GQS</v>
          </cell>
          <cell r="Z352">
            <v>122861</v>
          </cell>
        </row>
        <row r="353">
          <cell r="S353">
            <v>86122</v>
          </cell>
          <cell r="T353">
            <v>16800</v>
          </cell>
          <cell r="U353">
            <v>3702927</v>
          </cell>
          <cell r="W353" t="str">
            <v>GQS</v>
          </cell>
          <cell r="Z353">
            <v>3805849</v>
          </cell>
          <cell r="AB353" t="str">
            <v>PANEL</v>
          </cell>
        </row>
        <row r="354">
          <cell r="S354">
            <v>43061</v>
          </cell>
          <cell r="T354">
            <v>31500</v>
          </cell>
          <cell r="U354">
            <v>5874</v>
          </cell>
          <cell r="W354" t="str">
            <v>GQS</v>
          </cell>
          <cell r="Z354">
            <v>80435</v>
          </cell>
          <cell r="AB354" t="str">
            <v>AC_CORD</v>
          </cell>
        </row>
        <row r="355">
          <cell r="S355">
            <v>43061</v>
          </cell>
          <cell r="T355">
            <v>18900</v>
          </cell>
          <cell r="U355">
            <v>0</v>
          </cell>
          <cell r="W355" t="str">
            <v>GQS</v>
          </cell>
          <cell r="Z355">
            <v>61961</v>
          </cell>
        </row>
        <row r="356">
          <cell r="S356">
            <v>25837</v>
          </cell>
          <cell r="T356">
            <v>86100</v>
          </cell>
          <cell r="U356">
            <v>0</v>
          </cell>
          <cell r="W356" t="str">
            <v>GQS</v>
          </cell>
          <cell r="Z356">
            <v>111937</v>
          </cell>
        </row>
        <row r="357">
          <cell r="S357">
            <v>68898</v>
          </cell>
          <cell r="T357">
            <v>29400</v>
          </cell>
          <cell r="U357">
            <v>969798</v>
          </cell>
          <cell r="W357" t="str">
            <v>GQS</v>
          </cell>
          <cell r="Z357">
            <v>1068096</v>
          </cell>
          <cell r="AB357" t="str">
            <v>PANEL</v>
          </cell>
        </row>
        <row r="358">
          <cell r="S358">
            <v>34449</v>
          </cell>
          <cell r="T358">
            <v>42000</v>
          </cell>
          <cell r="U358">
            <v>569380</v>
          </cell>
          <cell r="W358" t="str">
            <v>GQS</v>
          </cell>
          <cell r="Z358">
            <v>645829</v>
          </cell>
          <cell r="AB358" t="str">
            <v>PANEL</v>
          </cell>
        </row>
        <row r="359">
          <cell r="S359">
            <v>25837</v>
          </cell>
          <cell r="T359">
            <v>18900</v>
          </cell>
          <cell r="U359">
            <v>204083</v>
          </cell>
          <cell r="W359" t="str">
            <v>GQS</v>
          </cell>
          <cell r="Z359">
            <v>248820</v>
          </cell>
          <cell r="AB359" t="str">
            <v>MAIN_UNIT</v>
          </cell>
        </row>
        <row r="360">
          <cell r="S360">
            <v>43061</v>
          </cell>
          <cell r="T360">
            <v>21000</v>
          </cell>
          <cell r="U360">
            <v>0</v>
          </cell>
          <cell r="W360" t="str">
            <v>GQS</v>
          </cell>
          <cell r="Z360">
            <v>64061</v>
          </cell>
        </row>
        <row r="361">
          <cell r="S361">
            <v>43061</v>
          </cell>
          <cell r="T361">
            <v>21000</v>
          </cell>
          <cell r="U361">
            <v>0</v>
          </cell>
          <cell r="W361" t="str">
            <v>GQS</v>
          </cell>
          <cell r="Z361">
            <v>64061</v>
          </cell>
        </row>
        <row r="362">
          <cell r="S362">
            <v>34449</v>
          </cell>
          <cell r="T362">
            <v>6300</v>
          </cell>
          <cell r="U362">
            <v>0</v>
          </cell>
          <cell r="W362" t="str">
            <v>GQS</v>
          </cell>
          <cell r="Z362">
            <v>40749</v>
          </cell>
        </row>
        <row r="363">
          <cell r="S363">
            <v>43061</v>
          </cell>
          <cell r="T363">
            <v>21000</v>
          </cell>
          <cell r="U363">
            <v>0</v>
          </cell>
          <cell r="W363" t="str">
            <v>GQS</v>
          </cell>
          <cell r="Z363">
            <v>64061</v>
          </cell>
        </row>
        <row r="364">
          <cell r="S364">
            <v>43061</v>
          </cell>
          <cell r="T364">
            <v>21000</v>
          </cell>
          <cell r="U364">
            <v>0</v>
          </cell>
          <cell r="W364" t="str">
            <v>GQS</v>
          </cell>
          <cell r="Z364">
            <v>64061</v>
          </cell>
        </row>
        <row r="365">
          <cell r="S365">
            <v>25837</v>
          </cell>
          <cell r="T365">
            <v>6300</v>
          </cell>
          <cell r="U365">
            <v>0</v>
          </cell>
          <cell r="W365" t="str">
            <v>GQS</v>
          </cell>
          <cell r="Z365">
            <v>32137</v>
          </cell>
        </row>
        <row r="366">
          <cell r="S366">
            <v>51673</v>
          </cell>
          <cell r="T366">
            <v>84000</v>
          </cell>
          <cell r="U366">
            <v>0</v>
          </cell>
          <cell r="W366" t="str">
            <v>GQS</v>
          </cell>
          <cell r="Z366">
            <v>135673</v>
          </cell>
        </row>
        <row r="367">
          <cell r="S367">
            <v>25837</v>
          </cell>
          <cell r="T367">
            <v>69300</v>
          </cell>
          <cell r="U367">
            <v>0</v>
          </cell>
          <cell r="W367" t="str">
            <v>GQS</v>
          </cell>
          <cell r="Z367">
            <v>95137</v>
          </cell>
        </row>
        <row r="368">
          <cell r="S368">
            <v>25837</v>
          </cell>
          <cell r="T368">
            <v>6300</v>
          </cell>
          <cell r="U368">
            <v>0</v>
          </cell>
          <cell r="W368" t="str">
            <v>GQS</v>
          </cell>
          <cell r="Z368">
            <v>32137</v>
          </cell>
        </row>
        <row r="369">
          <cell r="S369">
            <v>25837</v>
          </cell>
          <cell r="T369">
            <v>6300</v>
          </cell>
          <cell r="U369">
            <v>0</v>
          </cell>
          <cell r="W369" t="str">
            <v>GQS</v>
          </cell>
          <cell r="Z369">
            <v>32137</v>
          </cell>
        </row>
        <row r="370">
          <cell r="S370">
            <v>25837</v>
          </cell>
          <cell r="T370">
            <v>6300</v>
          </cell>
          <cell r="U370">
            <v>0</v>
          </cell>
          <cell r="W370" t="str">
            <v>GQS</v>
          </cell>
          <cell r="Z370">
            <v>32137</v>
          </cell>
        </row>
        <row r="371">
          <cell r="S371">
            <v>25837</v>
          </cell>
          <cell r="T371">
            <v>37800</v>
          </cell>
          <cell r="U371">
            <v>0</v>
          </cell>
          <cell r="W371" t="str">
            <v>GQS</v>
          </cell>
          <cell r="Z371">
            <v>63637</v>
          </cell>
        </row>
        <row r="372">
          <cell r="S372">
            <v>25837</v>
          </cell>
          <cell r="T372">
            <v>6300</v>
          </cell>
          <cell r="U372">
            <v>0</v>
          </cell>
          <cell r="W372" t="str">
            <v>GQS</v>
          </cell>
          <cell r="Z372">
            <v>32137</v>
          </cell>
        </row>
        <row r="373">
          <cell r="S373">
            <v>25837</v>
          </cell>
          <cell r="T373">
            <v>6300</v>
          </cell>
          <cell r="U373">
            <v>0</v>
          </cell>
          <cell r="W373" t="str">
            <v>GQS</v>
          </cell>
          <cell r="Z373">
            <v>32137</v>
          </cell>
        </row>
        <row r="374">
          <cell r="S374">
            <v>51673</v>
          </cell>
          <cell r="T374">
            <v>42000</v>
          </cell>
          <cell r="U374">
            <v>0</v>
          </cell>
          <cell r="W374" t="str">
            <v>GQS</v>
          </cell>
          <cell r="Z374">
            <v>93673</v>
          </cell>
        </row>
        <row r="375">
          <cell r="S375">
            <v>25837</v>
          </cell>
          <cell r="T375">
            <v>6300</v>
          </cell>
          <cell r="U375">
            <v>0</v>
          </cell>
          <cell r="W375" t="str">
            <v>GQS</v>
          </cell>
          <cell r="Z375">
            <v>32137</v>
          </cell>
        </row>
        <row r="376">
          <cell r="S376">
            <v>51673</v>
          </cell>
          <cell r="T376">
            <v>21000</v>
          </cell>
          <cell r="U376">
            <v>610637</v>
          </cell>
          <cell r="W376" t="str">
            <v>GQS</v>
          </cell>
          <cell r="Z376">
            <v>683310</v>
          </cell>
          <cell r="AB376" t="str">
            <v>MAIN_UNIT</v>
          </cell>
        </row>
        <row r="377">
          <cell r="S377">
            <v>25837</v>
          </cell>
          <cell r="T377">
            <v>6300</v>
          </cell>
          <cell r="U377">
            <v>0</v>
          </cell>
          <cell r="W377" t="str">
            <v>GQS</v>
          </cell>
          <cell r="Z377">
            <v>32137</v>
          </cell>
        </row>
        <row r="378">
          <cell r="S378">
            <v>25837</v>
          </cell>
          <cell r="T378">
            <v>6300</v>
          </cell>
          <cell r="U378">
            <v>0</v>
          </cell>
          <cell r="W378" t="str">
            <v>GQS</v>
          </cell>
          <cell r="Z378">
            <v>32137</v>
          </cell>
        </row>
        <row r="379">
          <cell r="S379">
            <v>25837</v>
          </cell>
          <cell r="T379">
            <v>6300</v>
          </cell>
          <cell r="U379">
            <v>0</v>
          </cell>
          <cell r="W379" t="str">
            <v>GQS</v>
          </cell>
          <cell r="Z379">
            <v>32137</v>
          </cell>
        </row>
        <row r="380">
          <cell r="S380">
            <v>25837</v>
          </cell>
          <cell r="T380">
            <v>6300</v>
          </cell>
          <cell r="U380">
            <v>0</v>
          </cell>
          <cell r="W380" t="str">
            <v>GQS</v>
          </cell>
          <cell r="Z380">
            <v>32137</v>
          </cell>
        </row>
        <row r="381">
          <cell r="S381">
            <v>25837</v>
          </cell>
          <cell r="T381">
            <v>6300</v>
          </cell>
          <cell r="U381">
            <v>0</v>
          </cell>
          <cell r="W381" t="str">
            <v>GQS</v>
          </cell>
          <cell r="Z381">
            <v>32137</v>
          </cell>
        </row>
        <row r="382">
          <cell r="S382">
            <v>25837</v>
          </cell>
          <cell r="T382">
            <v>6300</v>
          </cell>
          <cell r="U382">
            <v>0</v>
          </cell>
          <cell r="W382" t="str">
            <v>GQS</v>
          </cell>
          <cell r="Z382">
            <v>32137</v>
          </cell>
        </row>
        <row r="383">
          <cell r="S383">
            <v>25837</v>
          </cell>
          <cell r="T383">
            <v>6300</v>
          </cell>
          <cell r="U383">
            <v>0</v>
          </cell>
          <cell r="W383" t="str">
            <v>GQS</v>
          </cell>
          <cell r="Z383">
            <v>32137</v>
          </cell>
        </row>
        <row r="384">
          <cell r="S384">
            <v>25837</v>
          </cell>
          <cell r="T384">
            <v>6300</v>
          </cell>
          <cell r="U384">
            <v>0</v>
          </cell>
          <cell r="W384" t="str">
            <v>GQS</v>
          </cell>
          <cell r="Z384">
            <v>32137</v>
          </cell>
        </row>
        <row r="385">
          <cell r="S385">
            <v>25837</v>
          </cell>
          <cell r="T385">
            <v>6300</v>
          </cell>
          <cell r="U385">
            <v>0</v>
          </cell>
          <cell r="W385" t="str">
            <v>GQS</v>
          </cell>
          <cell r="Z385">
            <v>32137</v>
          </cell>
        </row>
        <row r="386">
          <cell r="S386">
            <v>25837</v>
          </cell>
          <cell r="T386">
            <v>6300</v>
          </cell>
          <cell r="U386">
            <v>0</v>
          </cell>
          <cell r="W386" t="str">
            <v>GQS</v>
          </cell>
          <cell r="Z386">
            <v>32137</v>
          </cell>
        </row>
        <row r="387">
          <cell r="S387">
            <v>25837</v>
          </cell>
          <cell r="T387">
            <v>6300</v>
          </cell>
          <cell r="U387">
            <v>0</v>
          </cell>
          <cell r="W387" t="str">
            <v>GQS</v>
          </cell>
          <cell r="Z387">
            <v>32137</v>
          </cell>
        </row>
        <row r="388">
          <cell r="S388">
            <v>25837</v>
          </cell>
          <cell r="T388">
            <v>6300</v>
          </cell>
          <cell r="U388">
            <v>0</v>
          </cell>
          <cell r="W388" t="str">
            <v>GQS</v>
          </cell>
          <cell r="Z388">
            <v>32137</v>
          </cell>
        </row>
        <row r="389">
          <cell r="S389">
            <v>25837</v>
          </cell>
          <cell r="T389">
            <v>6300</v>
          </cell>
          <cell r="U389">
            <v>0</v>
          </cell>
          <cell r="W389" t="str">
            <v>GQS</v>
          </cell>
          <cell r="Z389">
            <v>32137</v>
          </cell>
        </row>
        <row r="390">
          <cell r="S390">
            <v>86122</v>
          </cell>
          <cell r="T390">
            <v>18900</v>
          </cell>
          <cell r="U390">
            <v>297604</v>
          </cell>
          <cell r="W390" t="str">
            <v>GQS</v>
          </cell>
          <cell r="Z390">
            <v>402626</v>
          </cell>
          <cell r="AB390" t="str">
            <v>MAIN_UNIT</v>
          </cell>
        </row>
        <row r="391">
          <cell r="S391">
            <v>43061</v>
          </cell>
          <cell r="T391">
            <v>52500</v>
          </cell>
          <cell r="U391">
            <v>570098</v>
          </cell>
          <cell r="W391" t="str">
            <v>GQS</v>
          </cell>
          <cell r="Z391">
            <v>665659</v>
          </cell>
          <cell r="AB391" t="str">
            <v>MAIN_UNIT</v>
          </cell>
        </row>
        <row r="392">
          <cell r="S392">
            <v>43061</v>
          </cell>
          <cell r="T392">
            <v>21000</v>
          </cell>
          <cell r="U392">
            <v>0</v>
          </cell>
          <cell r="W392" t="str">
            <v>GQS</v>
          </cell>
          <cell r="Z392">
            <v>64061</v>
          </cell>
        </row>
        <row r="393">
          <cell r="S393">
            <v>77510</v>
          </cell>
          <cell r="T393">
            <v>21000</v>
          </cell>
          <cell r="U393">
            <v>570098</v>
          </cell>
          <cell r="W393" t="str">
            <v>GQS</v>
          </cell>
          <cell r="Z393">
            <v>668608</v>
          </cell>
          <cell r="AB393" t="str">
            <v>MAIN_UNIT</v>
          </cell>
        </row>
        <row r="394">
          <cell r="S394">
            <v>43061</v>
          </cell>
          <cell r="T394">
            <v>21000</v>
          </cell>
          <cell r="U394">
            <v>0</v>
          </cell>
          <cell r="W394" t="str">
            <v>GQS</v>
          </cell>
          <cell r="Z394">
            <v>64061</v>
          </cell>
        </row>
        <row r="395">
          <cell r="S395">
            <v>43061</v>
          </cell>
          <cell r="T395">
            <v>25200</v>
          </cell>
          <cell r="U395">
            <v>0</v>
          </cell>
          <cell r="W395" t="str">
            <v>GQS</v>
          </cell>
          <cell r="Z395">
            <v>68261</v>
          </cell>
        </row>
        <row r="396">
          <cell r="S396">
            <v>86122</v>
          </cell>
          <cell r="T396">
            <v>31500</v>
          </cell>
          <cell r="U396">
            <v>0</v>
          </cell>
          <cell r="W396" t="str">
            <v>GQS</v>
          </cell>
          <cell r="Z396">
            <v>117622</v>
          </cell>
        </row>
        <row r="397">
          <cell r="S397">
            <v>43061</v>
          </cell>
          <cell r="T397">
            <v>44100</v>
          </cell>
          <cell r="U397">
            <v>299936</v>
          </cell>
          <cell r="W397" t="str">
            <v>GQS</v>
          </cell>
          <cell r="Z397">
            <v>387097</v>
          </cell>
          <cell r="AB397" t="str">
            <v>MAIN_UNIT</v>
          </cell>
        </row>
        <row r="398">
          <cell r="S398">
            <v>86122</v>
          </cell>
          <cell r="T398">
            <v>42000</v>
          </cell>
          <cell r="U398">
            <v>0</v>
          </cell>
          <cell r="W398" t="str">
            <v>GQS</v>
          </cell>
          <cell r="Z398">
            <v>128122</v>
          </cell>
        </row>
        <row r="399">
          <cell r="S399">
            <v>86122</v>
          </cell>
          <cell r="T399">
            <v>42000</v>
          </cell>
          <cell r="U399">
            <v>0</v>
          </cell>
          <cell r="W399" t="str">
            <v>GQS</v>
          </cell>
          <cell r="Z399">
            <v>128122</v>
          </cell>
        </row>
        <row r="400">
          <cell r="S400">
            <v>68898</v>
          </cell>
          <cell r="T400">
            <v>8400</v>
          </cell>
          <cell r="U400">
            <v>0</v>
          </cell>
          <cell r="W400" t="str">
            <v>GQS</v>
          </cell>
          <cell r="Z400">
            <v>77298</v>
          </cell>
        </row>
        <row r="401">
          <cell r="S401">
            <v>17224</v>
          </cell>
          <cell r="T401">
            <v>12600</v>
          </cell>
          <cell r="U401">
            <v>0</v>
          </cell>
          <cell r="W401" t="str">
            <v>GQS</v>
          </cell>
          <cell r="Z401">
            <v>29824</v>
          </cell>
        </row>
        <row r="402">
          <cell r="S402">
            <v>25837</v>
          </cell>
          <cell r="T402">
            <v>18900</v>
          </cell>
          <cell r="U402">
            <v>0</v>
          </cell>
          <cell r="W402" t="str">
            <v>GQS</v>
          </cell>
          <cell r="Z402">
            <v>44737</v>
          </cell>
        </row>
        <row r="403">
          <cell r="S403">
            <v>86122</v>
          </cell>
          <cell r="T403">
            <v>73500</v>
          </cell>
          <cell r="U403">
            <v>969798</v>
          </cell>
          <cell r="W403" t="str">
            <v>GQS</v>
          </cell>
          <cell r="Z403">
            <v>1129420</v>
          </cell>
          <cell r="AB403" t="str">
            <v>PANEL</v>
          </cell>
        </row>
        <row r="404">
          <cell r="S404">
            <v>17224</v>
          </cell>
          <cell r="T404">
            <v>10500</v>
          </cell>
          <cell r="U404">
            <v>0</v>
          </cell>
          <cell r="W404" t="str">
            <v>GQS</v>
          </cell>
          <cell r="Z404">
            <v>27724</v>
          </cell>
        </row>
        <row r="405">
          <cell r="S405">
            <v>43061</v>
          </cell>
          <cell r="T405">
            <v>105000</v>
          </cell>
          <cell r="U405">
            <v>1573891</v>
          </cell>
          <cell r="W405" t="str">
            <v>GQS</v>
          </cell>
          <cell r="Z405">
            <v>1721952</v>
          </cell>
          <cell r="AB405" t="str">
            <v>PANEL</v>
          </cell>
        </row>
        <row r="406">
          <cell r="S406">
            <v>86122</v>
          </cell>
          <cell r="T406">
            <v>10500</v>
          </cell>
          <cell r="U406">
            <v>969798</v>
          </cell>
          <cell r="W406" t="str">
            <v>GQS</v>
          </cell>
          <cell r="Z406">
            <v>1066420</v>
          </cell>
          <cell r="AB406" t="str">
            <v>PANEL</v>
          </cell>
        </row>
        <row r="407">
          <cell r="S407">
            <v>43061</v>
          </cell>
          <cell r="T407">
            <v>31500</v>
          </cell>
          <cell r="U407">
            <v>0</v>
          </cell>
          <cell r="W407" t="str">
            <v>GQS</v>
          </cell>
          <cell r="Z407">
            <v>74561</v>
          </cell>
        </row>
        <row r="408">
          <cell r="S408">
            <v>17224</v>
          </cell>
          <cell r="T408">
            <v>0</v>
          </cell>
          <cell r="U408">
            <v>0</v>
          </cell>
          <cell r="W408" t="str">
            <v>GQS</v>
          </cell>
          <cell r="Z408">
            <v>17224</v>
          </cell>
        </row>
        <row r="409">
          <cell r="S409">
            <v>17224</v>
          </cell>
          <cell r="T409">
            <v>0</v>
          </cell>
          <cell r="U409">
            <v>0</v>
          </cell>
          <cell r="W409" t="str">
            <v>GQS</v>
          </cell>
          <cell r="Z409">
            <v>17224</v>
          </cell>
        </row>
        <row r="410">
          <cell r="S410">
            <v>86122</v>
          </cell>
          <cell r="T410">
            <v>31500</v>
          </cell>
          <cell r="U410">
            <v>635319</v>
          </cell>
          <cell r="W410" t="str">
            <v>GQS</v>
          </cell>
          <cell r="Z410">
            <v>752941</v>
          </cell>
          <cell r="AB410" t="str">
            <v>MAIN_UNIT</v>
          </cell>
        </row>
        <row r="411">
          <cell r="S411">
            <v>25837</v>
          </cell>
          <cell r="T411">
            <v>2100</v>
          </cell>
          <cell r="U411">
            <v>0</v>
          </cell>
          <cell r="W411" t="str">
            <v>GQS</v>
          </cell>
          <cell r="Z411">
            <v>27937</v>
          </cell>
        </row>
        <row r="412">
          <cell r="S412">
            <v>43061</v>
          </cell>
          <cell r="T412">
            <v>31500</v>
          </cell>
          <cell r="U412">
            <v>297604</v>
          </cell>
          <cell r="W412" t="str">
            <v>GQS</v>
          </cell>
          <cell r="Z412">
            <v>372165</v>
          </cell>
          <cell r="AB412" t="str">
            <v>MAIN_UNIT</v>
          </cell>
        </row>
        <row r="413">
          <cell r="S413">
            <v>86122</v>
          </cell>
          <cell r="T413">
            <v>0</v>
          </cell>
          <cell r="U413">
            <v>0</v>
          </cell>
          <cell r="W413" t="str">
            <v>GQS</v>
          </cell>
          <cell r="Z413">
            <v>86122</v>
          </cell>
        </row>
        <row r="414">
          <cell r="S414">
            <v>86122</v>
          </cell>
          <cell r="T414">
            <v>0</v>
          </cell>
          <cell r="U414">
            <v>0</v>
          </cell>
          <cell r="W414" t="str">
            <v>GQS</v>
          </cell>
          <cell r="Z414">
            <v>86122</v>
          </cell>
        </row>
        <row r="415">
          <cell r="S415">
            <v>86122</v>
          </cell>
          <cell r="T415">
            <v>21000</v>
          </cell>
          <cell r="U415">
            <v>569380</v>
          </cell>
          <cell r="W415" t="str">
            <v>GQS</v>
          </cell>
          <cell r="Z415">
            <v>676502</v>
          </cell>
          <cell r="AB415" t="str">
            <v>PANEL</v>
          </cell>
        </row>
        <row r="416">
          <cell r="S416">
            <v>8612</v>
          </cell>
          <cell r="T416">
            <v>2100</v>
          </cell>
          <cell r="U416">
            <v>0</v>
          </cell>
          <cell r="W416" t="str">
            <v>GQS</v>
          </cell>
          <cell r="Z416">
            <v>10712</v>
          </cell>
        </row>
        <row r="417">
          <cell r="S417">
            <v>25837</v>
          </cell>
          <cell r="T417">
            <v>21000</v>
          </cell>
          <cell r="U417">
            <v>0</v>
          </cell>
          <cell r="W417" t="str">
            <v>GQS</v>
          </cell>
          <cell r="Z417">
            <v>46837</v>
          </cell>
        </row>
        <row r="418">
          <cell r="S418">
            <v>86122</v>
          </cell>
          <cell r="T418">
            <v>84000</v>
          </cell>
          <cell r="U418">
            <v>569380</v>
          </cell>
          <cell r="W418" t="str">
            <v>GQS</v>
          </cell>
          <cell r="Z418">
            <v>739502</v>
          </cell>
          <cell r="AB418" t="str">
            <v>PANEL</v>
          </cell>
        </row>
        <row r="419">
          <cell r="S419">
            <v>86122</v>
          </cell>
          <cell r="T419">
            <v>18900</v>
          </cell>
          <cell r="U419">
            <v>0</v>
          </cell>
          <cell r="W419" t="str">
            <v>GQS</v>
          </cell>
          <cell r="Z419">
            <v>105022</v>
          </cell>
        </row>
        <row r="420">
          <cell r="S420">
            <v>34449</v>
          </cell>
          <cell r="T420">
            <v>10500</v>
          </cell>
          <cell r="U420">
            <v>0</v>
          </cell>
          <cell r="W420" t="str">
            <v>GQS</v>
          </cell>
          <cell r="Z420">
            <v>44949</v>
          </cell>
        </row>
        <row r="421">
          <cell r="S421">
            <v>43061</v>
          </cell>
          <cell r="T421">
            <v>79800</v>
          </cell>
          <cell r="U421">
            <v>522996</v>
          </cell>
          <cell r="W421" t="str">
            <v>GQS</v>
          </cell>
          <cell r="Z421">
            <v>645857</v>
          </cell>
          <cell r="AB421" t="str">
            <v>PANEL</v>
          </cell>
        </row>
        <row r="422">
          <cell r="S422">
            <v>25837</v>
          </cell>
          <cell r="T422">
            <v>12600</v>
          </cell>
          <cell r="U422">
            <v>0</v>
          </cell>
          <cell r="W422" t="str">
            <v>GQS</v>
          </cell>
          <cell r="Z422">
            <v>38437</v>
          </cell>
        </row>
        <row r="423">
          <cell r="S423">
            <v>68898</v>
          </cell>
          <cell r="T423">
            <v>25200</v>
          </cell>
          <cell r="U423">
            <v>316601</v>
          </cell>
          <cell r="W423" t="str">
            <v>GQS</v>
          </cell>
          <cell r="Z423">
            <v>410699</v>
          </cell>
          <cell r="AB423" t="str">
            <v>MAIN_UNIT</v>
          </cell>
        </row>
        <row r="424">
          <cell r="S424">
            <v>25837</v>
          </cell>
          <cell r="T424">
            <v>4200</v>
          </cell>
          <cell r="U424">
            <v>0</v>
          </cell>
          <cell r="W424" t="str">
            <v>GQS</v>
          </cell>
          <cell r="Z424">
            <v>30037</v>
          </cell>
        </row>
        <row r="425">
          <cell r="S425">
            <v>43061</v>
          </cell>
          <cell r="T425">
            <v>81900</v>
          </cell>
          <cell r="U425">
            <v>0</v>
          </cell>
          <cell r="W425" t="str">
            <v>GQS</v>
          </cell>
          <cell r="Z425">
            <v>124961</v>
          </cell>
        </row>
        <row r="426">
          <cell r="S426">
            <v>25837</v>
          </cell>
          <cell r="T426">
            <v>126000</v>
          </cell>
          <cell r="U426">
            <v>0</v>
          </cell>
          <cell r="W426" t="str">
            <v>GQS</v>
          </cell>
          <cell r="Z426">
            <v>151837</v>
          </cell>
        </row>
        <row r="427">
          <cell r="S427">
            <v>43061</v>
          </cell>
          <cell r="T427">
            <v>0</v>
          </cell>
          <cell r="U427">
            <v>0</v>
          </cell>
          <cell r="W427" t="str">
            <v>GQS</v>
          </cell>
          <cell r="Z427">
            <v>43061</v>
          </cell>
        </row>
        <row r="428">
          <cell r="S428">
            <v>25837</v>
          </cell>
          <cell r="T428">
            <v>0</v>
          </cell>
          <cell r="U428">
            <v>0</v>
          </cell>
          <cell r="W428" t="str">
            <v>GQS</v>
          </cell>
          <cell r="Z428">
            <v>25837</v>
          </cell>
        </row>
        <row r="429">
          <cell r="S429">
            <v>43061</v>
          </cell>
          <cell r="T429">
            <v>189000</v>
          </cell>
          <cell r="U429">
            <v>299936</v>
          </cell>
          <cell r="W429" t="str">
            <v>GQS</v>
          </cell>
          <cell r="Z429">
            <v>531997</v>
          </cell>
          <cell r="AB429" t="str">
            <v>MAIN_UNIT</v>
          </cell>
        </row>
        <row r="430">
          <cell r="S430">
            <v>43061</v>
          </cell>
          <cell r="T430">
            <v>0</v>
          </cell>
          <cell r="U430">
            <v>0</v>
          </cell>
          <cell r="W430" t="str">
            <v>GQS</v>
          </cell>
          <cell r="Z430">
            <v>43061</v>
          </cell>
        </row>
        <row r="431">
          <cell r="S431">
            <v>60285</v>
          </cell>
          <cell r="T431">
            <v>197400</v>
          </cell>
          <cell r="U431">
            <v>969798</v>
          </cell>
          <cell r="W431" t="str">
            <v>GQS</v>
          </cell>
          <cell r="Z431">
            <v>1227483</v>
          </cell>
          <cell r="AB431" t="str">
            <v>PANEL</v>
          </cell>
        </row>
        <row r="432">
          <cell r="S432">
            <v>43061</v>
          </cell>
          <cell r="T432">
            <v>0</v>
          </cell>
          <cell r="U432">
            <v>0</v>
          </cell>
          <cell r="W432" t="str">
            <v>GQS</v>
          </cell>
          <cell r="Z432">
            <v>43061</v>
          </cell>
        </row>
        <row r="433">
          <cell r="S433">
            <v>51673</v>
          </cell>
          <cell r="T433">
            <v>10500</v>
          </cell>
          <cell r="U433">
            <v>68894</v>
          </cell>
          <cell r="W433" t="str">
            <v>GQS</v>
          </cell>
          <cell r="Z433">
            <v>131067</v>
          </cell>
          <cell r="AB433" t="str">
            <v>TAPE</v>
          </cell>
        </row>
        <row r="434">
          <cell r="S434">
            <v>25837</v>
          </cell>
          <cell r="T434">
            <v>6300</v>
          </cell>
          <cell r="U434">
            <v>0</v>
          </cell>
          <cell r="W434" t="str">
            <v>GQS</v>
          </cell>
          <cell r="Z434">
            <v>32137</v>
          </cell>
        </row>
        <row r="435">
          <cell r="S435">
            <v>43061</v>
          </cell>
          <cell r="T435">
            <v>21000</v>
          </cell>
          <cell r="U435">
            <v>0</v>
          </cell>
          <cell r="W435" t="str">
            <v>GQS</v>
          </cell>
          <cell r="Z435">
            <v>64061</v>
          </cell>
        </row>
        <row r="436">
          <cell r="S436">
            <v>25837</v>
          </cell>
          <cell r="T436">
            <v>73500</v>
          </cell>
          <cell r="U436">
            <v>0</v>
          </cell>
          <cell r="W436" t="str">
            <v>GQS</v>
          </cell>
          <cell r="Z436">
            <v>99337</v>
          </cell>
        </row>
        <row r="437">
          <cell r="S437">
            <v>25837</v>
          </cell>
          <cell r="T437">
            <v>73500</v>
          </cell>
          <cell r="U437">
            <v>0</v>
          </cell>
          <cell r="W437" t="str">
            <v>GQS</v>
          </cell>
          <cell r="Z437">
            <v>99337</v>
          </cell>
        </row>
        <row r="438">
          <cell r="S438">
            <v>25837</v>
          </cell>
          <cell r="T438">
            <v>73500</v>
          </cell>
          <cell r="U438">
            <v>0</v>
          </cell>
          <cell r="W438" t="str">
            <v>GQS</v>
          </cell>
          <cell r="Z438">
            <v>99337</v>
          </cell>
        </row>
        <row r="439">
          <cell r="S439">
            <v>86122</v>
          </cell>
          <cell r="T439">
            <v>10500</v>
          </cell>
          <cell r="U439">
            <v>0</v>
          </cell>
          <cell r="W439" t="str">
            <v>GQS</v>
          </cell>
          <cell r="Z439">
            <v>96622</v>
          </cell>
        </row>
        <row r="440">
          <cell r="S440">
            <v>86122</v>
          </cell>
          <cell r="T440">
            <v>94500</v>
          </cell>
          <cell r="U440">
            <v>0</v>
          </cell>
          <cell r="W440" t="str">
            <v>GQS</v>
          </cell>
          <cell r="Z440">
            <v>180622</v>
          </cell>
        </row>
        <row r="441">
          <cell r="S441">
            <v>8612</v>
          </cell>
          <cell r="T441">
            <v>130200</v>
          </cell>
          <cell r="U441">
            <v>0</v>
          </cell>
          <cell r="W441" t="str">
            <v>GQS</v>
          </cell>
          <cell r="Z441">
            <v>138812</v>
          </cell>
        </row>
        <row r="442">
          <cell r="S442">
            <v>0</v>
          </cell>
          <cell r="T442">
            <v>0</v>
          </cell>
          <cell r="U442">
            <v>0</v>
          </cell>
          <cell r="W442" t="str">
            <v>GQS</v>
          </cell>
          <cell r="Z442">
            <v>0</v>
          </cell>
          <cell r="AB442" t="str">
            <v>LVDS_WIRE</v>
          </cell>
        </row>
        <row r="443">
          <cell r="S443">
            <v>0</v>
          </cell>
          <cell r="T443">
            <v>0</v>
          </cell>
          <cell r="U443">
            <v>0</v>
          </cell>
          <cell r="W443" t="str">
            <v>GQS</v>
          </cell>
          <cell r="Z443">
            <v>0</v>
          </cell>
          <cell r="AB443" t="str">
            <v>MAIN_UNIT</v>
          </cell>
        </row>
        <row r="444">
          <cell r="S444">
            <v>86122</v>
          </cell>
          <cell r="T444">
            <v>27300</v>
          </cell>
          <cell r="U444">
            <v>1185549</v>
          </cell>
          <cell r="W444" t="str">
            <v>GQS</v>
          </cell>
          <cell r="Z444">
            <v>1298971</v>
          </cell>
          <cell r="AB444" t="str">
            <v>PANEL</v>
          </cell>
        </row>
        <row r="445">
          <cell r="S445">
            <v>86122</v>
          </cell>
          <cell r="T445">
            <v>18900</v>
          </cell>
          <cell r="U445">
            <v>969798</v>
          </cell>
          <cell r="W445" t="str">
            <v>GQS</v>
          </cell>
          <cell r="Z445">
            <v>1074820</v>
          </cell>
          <cell r="AB445" t="str">
            <v>PANEL</v>
          </cell>
        </row>
        <row r="446">
          <cell r="S446">
            <v>43061</v>
          </cell>
          <cell r="T446">
            <v>21000</v>
          </cell>
          <cell r="U446">
            <v>102457</v>
          </cell>
          <cell r="W446" t="str">
            <v>GQS</v>
          </cell>
          <cell r="Z446">
            <v>166518</v>
          </cell>
          <cell r="AB446" t="str">
            <v>REMOTE_CONTROL</v>
          </cell>
        </row>
        <row r="447">
          <cell r="S447">
            <v>43061</v>
          </cell>
          <cell r="T447">
            <v>0</v>
          </cell>
          <cell r="U447">
            <v>969798</v>
          </cell>
          <cell r="W447" t="str">
            <v>GQS</v>
          </cell>
          <cell r="Z447">
            <v>1012859</v>
          </cell>
          <cell r="AB447" t="str">
            <v>PANEL</v>
          </cell>
        </row>
        <row r="448">
          <cell r="S448">
            <v>17224</v>
          </cell>
          <cell r="T448">
            <v>0</v>
          </cell>
          <cell r="U448">
            <v>0</v>
          </cell>
          <cell r="W448" t="str">
            <v>GQS</v>
          </cell>
          <cell r="Z448">
            <v>17224</v>
          </cell>
        </row>
        <row r="449">
          <cell r="S449">
            <v>17224</v>
          </cell>
          <cell r="T449">
            <v>0</v>
          </cell>
          <cell r="U449">
            <v>0</v>
          </cell>
          <cell r="W449" t="str">
            <v>GQS</v>
          </cell>
          <cell r="Z449">
            <v>17224</v>
          </cell>
        </row>
        <row r="450">
          <cell r="S450">
            <v>34449</v>
          </cell>
          <cell r="T450">
            <v>21000</v>
          </cell>
          <cell r="U450">
            <v>0</v>
          </cell>
          <cell r="W450" t="str">
            <v>GQS</v>
          </cell>
          <cell r="Z450">
            <v>55449</v>
          </cell>
        </row>
        <row r="451">
          <cell r="S451">
            <v>43061</v>
          </cell>
          <cell r="T451">
            <v>21000</v>
          </cell>
          <cell r="U451">
            <v>0</v>
          </cell>
          <cell r="W451" t="str">
            <v>GQS</v>
          </cell>
          <cell r="Z451">
            <v>64061</v>
          </cell>
        </row>
        <row r="452">
          <cell r="S452">
            <v>43061</v>
          </cell>
          <cell r="T452">
            <v>42000</v>
          </cell>
          <cell r="U452">
            <v>0</v>
          </cell>
          <cell r="W452" t="str">
            <v>GQS</v>
          </cell>
          <cell r="Z452">
            <v>85061</v>
          </cell>
        </row>
        <row r="453">
          <cell r="S453">
            <v>25837</v>
          </cell>
          <cell r="T453">
            <v>50400</v>
          </cell>
          <cell r="U453">
            <v>297604</v>
          </cell>
          <cell r="W453" t="str">
            <v>GQS</v>
          </cell>
          <cell r="Z453">
            <v>373841</v>
          </cell>
          <cell r="AB453" t="str">
            <v>MAIN_UNIT</v>
          </cell>
        </row>
        <row r="454">
          <cell r="S454">
            <v>77510</v>
          </cell>
          <cell r="T454">
            <v>63000</v>
          </cell>
          <cell r="U454">
            <v>5393504</v>
          </cell>
          <cell r="W454" t="str">
            <v>GQS</v>
          </cell>
          <cell r="Z454">
            <v>5534014</v>
          </cell>
          <cell r="AB454" t="str">
            <v>PANEL</v>
          </cell>
        </row>
        <row r="455">
          <cell r="S455">
            <v>43061</v>
          </cell>
          <cell r="T455">
            <v>21000</v>
          </cell>
          <cell r="U455">
            <v>297604</v>
          </cell>
          <cell r="W455" t="str">
            <v>GQS</v>
          </cell>
          <cell r="Z455">
            <v>361665</v>
          </cell>
          <cell r="AB455" t="str">
            <v>MAIN_UNIT</v>
          </cell>
        </row>
        <row r="456">
          <cell r="S456">
            <v>68898</v>
          </cell>
          <cell r="T456">
            <v>37800</v>
          </cell>
          <cell r="U456">
            <v>297604</v>
          </cell>
          <cell r="W456" t="str">
            <v>GQS</v>
          </cell>
          <cell r="Z456">
            <v>404302</v>
          </cell>
          <cell r="AB456" t="str">
            <v>MAIN_UNIT</v>
          </cell>
        </row>
        <row r="457">
          <cell r="S457">
            <v>43061</v>
          </cell>
          <cell r="T457">
            <v>71400</v>
          </cell>
          <cell r="U457">
            <v>0</v>
          </cell>
          <cell r="W457" t="str">
            <v>GQS</v>
          </cell>
          <cell r="Z457">
            <v>114461</v>
          </cell>
        </row>
        <row r="458">
          <cell r="S458">
            <v>51673</v>
          </cell>
          <cell r="T458">
            <v>8400</v>
          </cell>
          <cell r="U458">
            <v>297604</v>
          </cell>
          <cell r="W458" t="str">
            <v>GQS</v>
          </cell>
          <cell r="Z458">
            <v>357677</v>
          </cell>
          <cell r="AB458" t="str">
            <v>MAIN_UNIT</v>
          </cell>
        </row>
        <row r="459">
          <cell r="S459">
            <v>51673</v>
          </cell>
          <cell r="T459">
            <v>10500</v>
          </cell>
          <cell r="U459">
            <v>0</v>
          </cell>
          <cell r="W459" t="str">
            <v>GQS</v>
          </cell>
          <cell r="Z459">
            <v>62173</v>
          </cell>
        </row>
        <row r="460">
          <cell r="S460">
            <v>17224</v>
          </cell>
          <cell r="T460">
            <v>35700</v>
          </cell>
          <cell r="U460">
            <v>0</v>
          </cell>
          <cell r="W460" t="str">
            <v>GQS</v>
          </cell>
          <cell r="Z460">
            <v>52924</v>
          </cell>
        </row>
        <row r="461">
          <cell r="S461">
            <v>86122</v>
          </cell>
          <cell r="T461">
            <v>21000</v>
          </cell>
          <cell r="U461">
            <v>120105</v>
          </cell>
          <cell r="W461" t="str">
            <v>GQS</v>
          </cell>
          <cell r="Z461">
            <v>227227</v>
          </cell>
          <cell r="AB461" t="str">
            <v>MAIN_UNIT</v>
          </cell>
        </row>
        <row r="462">
          <cell r="S462">
            <v>43061</v>
          </cell>
          <cell r="T462">
            <v>63000</v>
          </cell>
          <cell r="U462">
            <v>0</v>
          </cell>
          <cell r="W462" t="str">
            <v>GQS</v>
          </cell>
          <cell r="Z462">
            <v>106061</v>
          </cell>
        </row>
        <row r="463">
          <cell r="S463">
            <v>86122</v>
          </cell>
          <cell r="T463">
            <v>21000</v>
          </cell>
          <cell r="U463">
            <v>969798</v>
          </cell>
          <cell r="W463" t="str">
            <v>GQS</v>
          </cell>
          <cell r="Z463">
            <v>1076920</v>
          </cell>
          <cell r="AB463" t="str">
            <v>PANEL</v>
          </cell>
        </row>
        <row r="464">
          <cell r="S464">
            <v>51673</v>
          </cell>
          <cell r="T464">
            <v>50400</v>
          </cell>
          <cell r="U464">
            <v>602572</v>
          </cell>
          <cell r="W464" t="str">
            <v>GQS</v>
          </cell>
          <cell r="Z464">
            <v>704645</v>
          </cell>
          <cell r="AB464" t="str">
            <v>MAIN_UNIT</v>
          </cell>
        </row>
        <row r="465">
          <cell r="S465">
            <v>43061</v>
          </cell>
          <cell r="T465">
            <v>21000</v>
          </cell>
          <cell r="U465">
            <v>0</v>
          </cell>
          <cell r="W465" t="str">
            <v>GQS</v>
          </cell>
          <cell r="Z465">
            <v>64061</v>
          </cell>
        </row>
        <row r="466">
          <cell r="S466">
            <v>25837</v>
          </cell>
          <cell r="T466">
            <v>42000</v>
          </cell>
          <cell r="U466">
            <v>0</v>
          </cell>
          <cell r="W466" t="str">
            <v>GQS</v>
          </cell>
          <cell r="Z466">
            <v>67837</v>
          </cell>
        </row>
        <row r="467">
          <cell r="S467">
            <v>86122</v>
          </cell>
          <cell r="T467">
            <v>31500</v>
          </cell>
          <cell r="U467">
            <v>0</v>
          </cell>
          <cell r="W467" t="str">
            <v>GQS</v>
          </cell>
          <cell r="Z467">
            <v>117622</v>
          </cell>
        </row>
        <row r="468">
          <cell r="S468">
            <v>86122</v>
          </cell>
          <cell r="T468">
            <v>4200</v>
          </cell>
          <cell r="U468">
            <v>0</v>
          </cell>
          <cell r="W468" t="str">
            <v>GQS</v>
          </cell>
          <cell r="Z468">
            <v>90322</v>
          </cell>
        </row>
        <row r="469">
          <cell r="S469">
            <v>43061</v>
          </cell>
          <cell r="T469">
            <v>42000</v>
          </cell>
          <cell r="U469">
            <v>972376</v>
          </cell>
          <cell r="W469" t="str">
            <v>GQS</v>
          </cell>
          <cell r="Z469">
            <v>1057437</v>
          </cell>
          <cell r="AB469" t="str">
            <v>MAIN_UNIT</v>
          </cell>
        </row>
        <row r="470">
          <cell r="S470">
            <v>43061</v>
          </cell>
          <cell r="T470">
            <v>0</v>
          </cell>
          <cell r="U470">
            <v>12469</v>
          </cell>
          <cell r="W470" t="str">
            <v>GQS</v>
          </cell>
          <cell r="Z470">
            <v>55530</v>
          </cell>
          <cell r="AB470" t="str">
            <v>REMOTE_CONTROL</v>
          </cell>
        </row>
        <row r="471">
          <cell r="S471">
            <v>43061</v>
          </cell>
          <cell r="T471">
            <v>73500</v>
          </cell>
          <cell r="U471">
            <v>0</v>
          </cell>
          <cell r="W471" t="str">
            <v>GQS</v>
          </cell>
          <cell r="Z471">
            <v>116561</v>
          </cell>
        </row>
        <row r="472">
          <cell r="S472">
            <v>43061</v>
          </cell>
          <cell r="T472">
            <v>27300</v>
          </cell>
          <cell r="U472">
            <v>0</v>
          </cell>
          <cell r="W472" t="str">
            <v>GQS</v>
          </cell>
          <cell r="Z472">
            <v>70361</v>
          </cell>
        </row>
        <row r="473">
          <cell r="S473">
            <v>8612</v>
          </cell>
          <cell r="T473">
            <v>77700</v>
          </cell>
          <cell r="U473">
            <v>12469</v>
          </cell>
          <cell r="W473" t="str">
            <v>GQS</v>
          </cell>
          <cell r="Z473">
            <v>98781</v>
          </cell>
          <cell r="AB473" t="str">
            <v>REMOTE_CONTROL</v>
          </cell>
        </row>
        <row r="474">
          <cell r="S474">
            <v>8612</v>
          </cell>
          <cell r="T474">
            <v>0</v>
          </cell>
          <cell r="U474">
            <v>0</v>
          </cell>
          <cell r="W474" t="str">
            <v>GQS</v>
          </cell>
          <cell r="Z474">
            <v>8612</v>
          </cell>
        </row>
        <row r="475">
          <cell r="S475">
            <v>43061</v>
          </cell>
          <cell r="T475">
            <v>210000</v>
          </cell>
          <cell r="U475">
            <v>0</v>
          </cell>
          <cell r="W475" t="str">
            <v>GQS</v>
          </cell>
          <cell r="Z475">
            <v>253061</v>
          </cell>
        </row>
        <row r="476">
          <cell r="S476">
            <v>43061</v>
          </cell>
          <cell r="T476">
            <v>42000</v>
          </cell>
          <cell r="U476">
            <v>969798</v>
          </cell>
          <cell r="W476" t="str">
            <v>GQS</v>
          </cell>
          <cell r="Z476">
            <v>1054859</v>
          </cell>
          <cell r="AB476" t="str">
            <v>PANEL</v>
          </cell>
        </row>
        <row r="477">
          <cell r="S477">
            <v>17224</v>
          </cell>
          <cell r="T477">
            <v>0</v>
          </cell>
          <cell r="U477">
            <v>0</v>
          </cell>
          <cell r="W477" t="str">
            <v>GQS</v>
          </cell>
          <cell r="Z477">
            <v>17224</v>
          </cell>
        </row>
        <row r="478">
          <cell r="S478">
            <v>86122</v>
          </cell>
          <cell r="T478">
            <v>25200</v>
          </cell>
          <cell r="U478">
            <v>969798</v>
          </cell>
          <cell r="W478" t="str">
            <v>GQS</v>
          </cell>
          <cell r="Z478">
            <v>1081120</v>
          </cell>
          <cell r="AB478" t="str">
            <v>PANEL</v>
          </cell>
        </row>
        <row r="479">
          <cell r="S479">
            <v>86122</v>
          </cell>
          <cell r="T479">
            <v>42000</v>
          </cell>
          <cell r="U479">
            <v>610638</v>
          </cell>
          <cell r="W479" t="str">
            <v>GQS</v>
          </cell>
          <cell r="Z479">
            <v>738760</v>
          </cell>
          <cell r="AB479" t="str">
            <v>MAIN_UNIT</v>
          </cell>
        </row>
        <row r="480">
          <cell r="S480">
            <v>43061</v>
          </cell>
          <cell r="T480">
            <v>23100</v>
          </cell>
          <cell r="U480">
            <v>0</v>
          </cell>
          <cell r="W480" t="str">
            <v>GQS</v>
          </cell>
          <cell r="Z480">
            <v>66161</v>
          </cell>
        </row>
        <row r="481">
          <cell r="S481">
            <v>25837</v>
          </cell>
          <cell r="T481">
            <v>21000</v>
          </cell>
          <cell r="U481">
            <v>0</v>
          </cell>
          <cell r="W481" t="str">
            <v>GQS</v>
          </cell>
          <cell r="Z481">
            <v>46837</v>
          </cell>
        </row>
        <row r="482">
          <cell r="S482">
            <v>34449</v>
          </cell>
          <cell r="T482">
            <v>21000</v>
          </cell>
          <cell r="U482">
            <v>0</v>
          </cell>
          <cell r="W482" t="str">
            <v>GQS</v>
          </cell>
          <cell r="Z482">
            <v>55449</v>
          </cell>
        </row>
        <row r="483">
          <cell r="S483">
            <v>86122</v>
          </cell>
          <cell r="T483">
            <v>157500</v>
          </cell>
          <cell r="U483">
            <v>0</v>
          </cell>
          <cell r="W483" t="str">
            <v>GQS</v>
          </cell>
          <cell r="Z483">
            <v>243622</v>
          </cell>
        </row>
        <row r="484">
          <cell r="S484">
            <v>17224</v>
          </cell>
          <cell r="T484">
            <v>46200</v>
          </cell>
          <cell r="U484">
            <v>0</v>
          </cell>
          <cell r="W484" t="str">
            <v>GQS</v>
          </cell>
          <cell r="Z484">
            <v>63424</v>
          </cell>
        </row>
        <row r="485">
          <cell r="S485">
            <v>25837</v>
          </cell>
          <cell r="T485">
            <v>10500</v>
          </cell>
          <cell r="U485">
            <v>0</v>
          </cell>
          <cell r="W485" t="str">
            <v>GQS</v>
          </cell>
          <cell r="Z485">
            <v>36337</v>
          </cell>
        </row>
        <row r="486">
          <cell r="S486">
            <v>25837</v>
          </cell>
          <cell r="T486">
            <v>8400</v>
          </cell>
          <cell r="U486">
            <v>0</v>
          </cell>
          <cell r="W486" t="str">
            <v>GQS</v>
          </cell>
          <cell r="Z486">
            <v>34237</v>
          </cell>
        </row>
        <row r="487">
          <cell r="S487">
            <v>25837</v>
          </cell>
          <cell r="T487">
            <v>8400</v>
          </cell>
          <cell r="U487">
            <v>0</v>
          </cell>
          <cell r="W487" t="str">
            <v>GQS</v>
          </cell>
          <cell r="Z487">
            <v>34237</v>
          </cell>
        </row>
        <row r="488">
          <cell r="S488">
            <v>43061</v>
          </cell>
          <cell r="T488">
            <v>25200</v>
          </cell>
          <cell r="U488">
            <v>12469</v>
          </cell>
          <cell r="W488" t="str">
            <v>GQS</v>
          </cell>
          <cell r="Z488">
            <v>80730</v>
          </cell>
          <cell r="AB488" t="str">
            <v>REMOTE_CONTROL</v>
          </cell>
        </row>
        <row r="489">
          <cell r="S489">
            <v>43061</v>
          </cell>
          <cell r="T489">
            <v>130200</v>
          </cell>
          <cell r="U489">
            <v>297604</v>
          </cell>
          <cell r="W489" t="str">
            <v>GQS</v>
          </cell>
          <cell r="Z489">
            <v>470865</v>
          </cell>
          <cell r="AB489" t="str">
            <v>MAIN_UNIT</v>
          </cell>
        </row>
        <row r="490">
          <cell r="S490">
            <v>51673</v>
          </cell>
          <cell r="T490">
            <v>58800</v>
          </cell>
          <cell r="U490">
            <v>0</v>
          </cell>
          <cell r="W490" t="str">
            <v>GQS</v>
          </cell>
          <cell r="Z490">
            <v>110473</v>
          </cell>
        </row>
        <row r="491">
          <cell r="S491">
            <v>86122</v>
          </cell>
          <cell r="T491">
            <v>4200</v>
          </cell>
          <cell r="U491">
            <v>0</v>
          </cell>
          <cell r="W491" t="str">
            <v>GQS</v>
          </cell>
          <cell r="Z491">
            <v>90322</v>
          </cell>
        </row>
        <row r="492">
          <cell r="S492">
            <v>86122</v>
          </cell>
          <cell r="T492">
            <v>18900</v>
          </cell>
          <cell r="U492">
            <v>0</v>
          </cell>
          <cell r="W492" t="str">
            <v>GQS</v>
          </cell>
          <cell r="Z492">
            <v>105022</v>
          </cell>
        </row>
        <row r="493">
          <cell r="S493">
            <v>25837</v>
          </cell>
          <cell r="T493">
            <v>18900</v>
          </cell>
          <cell r="U493">
            <v>0</v>
          </cell>
          <cell r="W493" t="str">
            <v>GQS</v>
          </cell>
          <cell r="Z493">
            <v>44737</v>
          </cell>
        </row>
        <row r="494">
          <cell r="S494">
            <v>17224</v>
          </cell>
          <cell r="T494">
            <v>6300</v>
          </cell>
          <cell r="U494">
            <v>0</v>
          </cell>
          <cell r="W494" t="str">
            <v>GQS</v>
          </cell>
          <cell r="Z494">
            <v>23524</v>
          </cell>
        </row>
        <row r="495">
          <cell r="S495">
            <v>43061</v>
          </cell>
          <cell r="T495">
            <v>21000</v>
          </cell>
          <cell r="U495">
            <v>569380</v>
          </cell>
          <cell r="W495" t="str">
            <v>GQS</v>
          </cell>
          <cell r="Z495">
            <v>633441</v>
          </cell>
          <cell r="AB495" t="str">
            <v>PANEL</v>
          </cell>
        </row>
        <row r="496">
          <cell r="S496">
            <v>8612</v>
          </cell>
          <cell r="T496">
            <v>0</v>
          </cell>
          <cell r="U496">
            <v>0</v>
          </cell>
          <cell r="W496" t="str">
            <v>GQS</v>
          </cell>
          <cell r="Z496">
            <v>8612</v>
          </cell>
        </row>
        <row r="497">
          <cell r="S497">
            <v>43061</v>
          </cell>
          <cell r="T497">
            <v>6300</v>
          </cell>
          <cell r="U497">
            <v>0</v>
          </cell>
          <cell r="W497" t="str">
            <v>GQS</v>
          </cell>
          <cell r="Z497">
            <v>49361</v>
          </cell>
        </row>
        <row r="498">
          <cell r="S498">
            <v>25837</v>
          </cell>
          <cell r="T498">
            <v>0</v>
          </cell>
          <cell r="U498">
            <v>0</v>
          </cell>
          <cell r="W498" t="str">
            <v>GQS</v>
          </cell>
          <cell r="Z498">
            <v>25837</v>
          </cell>
        </row>
        <row r="499">
          <cell r="S499">
            <v>25837</v>
          </cell>
          <cell r="T499">
            <v>21000</v>
          </cell>
          <cell r="U499">
            <v>0</v>
          </cell>
          <cell r="W499" t="str">
            <v>GQS</v>
          </cell>
          <cell r="Z499">
            <v>46837</v>
          </cell>
        </row>
        <row r="500">
          <cell r="S500">
            <v>17224</v>
          </cell>
          <cell r="T500">
            <v>126000</v>
          </cell>
          <cell r="U500">
            <v>0</v>
          </cell>
          <cell r="W500" t="str">
            <v>GQS</v>
          </cell>
          <cell r="Z500">
            <v>143224</v>
          </cell>
        </row>
        <row r="501">
          <cell r="S501">
            <v>25837</v>
          </cell>
          <cell r="T501">
            <v>31500</v>
          </cell>
          <cell r="U501">
            <v>0</v>
          </cell>
          <cell r="W501" t="str">
            <v>GQS</v>
          </cell>
          <cell r="Z501">
            <v>57337</v>
          </cell>
        </row>
        <row r="502">
          <cell r="S502">
            <v>25837</v>
          </cell>
          <cell r="T502">
            <v>21000</v>
          </cell>
          <cell r="U502">
            <v>0</v>
          </cell>
          <cell r="W502" t="str">
            <v>GQS</v>
          </cell>
          <cell r="Z502">
            <v>46837</v>
          </cell>
        </row>
        <row r="503">
          <cell r="S503">
            <v>25837</v>
          </cell>
          <cell r="T503">
            <v>21000</v>
          </cell>
          <cell r="U503">
            <v>0</v>
          </cell>
          <cell r="W503" t="str">
            <v>GQS</v>
          </cell>
          <cell r="Z503">
            <v>46837</v>
          </cell>
        </row>
        <row r="504">
          <cell r="S504">
            <v>25837</v>
          </cell>
          <cell r="T504">
            <v>21000</v>
          </cell>
          <cell r="U504">
            <v>0</v>
          </cell>
          <cell r="W504" t="str">
            <v>GQS</v>
          </cell>
          <cell r="Z504">
            <v>46837</v>
          </cell>
        </row>
        <row r="505">
          <cell r="S505">
            <v>25837</v>
          </cell>
          <cell r="T505">
            <v>0</v>
          </cell>
          <cell r="U505">
            <v>0</v>
          </cell>
          <cell r="W505" t="str">
            <v>GQS</v>
          </cell>
          <cell r="Z505">
            <v>25837</v>
          </cell>
        </row>
        <row r="506">
          <cell r="S506">
            <v>8612</v>
          </cell>
          <cell r="T506">
            <v>0</v>
          </cell>
          <cell r="U506">
            <v>0</v>
          </cell>
          <cell r="W506" t="str">
            <v>GQS</v>
          </cell>
          <cell r="Z506">
            <v>8612</v>
          </cell>
        </row>
        <row r="507">
          <cell r="S507">
            <v>25837</v>
          </cell>
          <cell r="T507">
            <v>12600</v>
          </cell>
          <cell r="U507">
            <v>367125</v>
          </cell>
          <cell r="W507" t="str">
            <v>GQS</v>
          </cell>
          <cell r="Z507">
            <v>405562</v>
          </cell>
          <cell r="AB507" t="str">
            <v>PANEL</v>
          </cell>
        </row>
        <row r="508">
          <cell r="S508">
            <v>25837</v>
          </cell>
          <cell r="T508">
            <v>0</v>
          </cell>
          <cell r="U508">
            <v>0</v>
          </cell>
          <cell r="W508" t="str">
            <v>GQS</v>
          </cell>
          <cell r="Z508">
            <v>25837</v>
          </cell>
        </row>
        <row r="509">
          <cell r="S509">
            <v>25837</v>
          </cell>
          <cell r="T509">
            <v>0</v>
          </cell>
          <cell r="U509">
            <v>0</v>
          </cell>
          <cell r="W509" t="str">
            <v>GQS</v>
          </cell>
          <cell r="Z509">
            <v>25837</v>
          </cell>
        </row>
        <row r="510">
          <cell r="S510">
            <v>25837</v>
          </cell>
          <cell r="T510">
            <v>0</v>
          </cell>
          <cell r="U510">
            <v>0</v>
          </cell>
          <cell r="W510" t="str">
            <v>GQS</v>
          </cell>
          <cell r="Z510">
            <v>25837</v>
          </cell>
        </row>
        <row r="511">
          <cell r="S511">
            <v>43061</v>
          </cell>
          <cell r="T511">
            <v>0</v>
          </cell>
          <cell r="U511">
            <v>1373768</v>
          </cell>
          <cell r="W511" t="str">
            <v>GQS</v>
          </cell>
          <cell r="Z511">
            <v>1416829</v>
          </cell>
          <cell r="AB511" t="str">
            <v>PANEL</v>
          </cell>
        </row>
        <row r="512">
          <cell r="S512">
            <v>43061</v>
          </cell>
          <cell r="T512">
            <v>0</v>
          </cell>
          <cell r="U512">
            <v>0</v>
          </cell>
          <cell r="W512" t="str">
            <v>GQS</v>
          </cell>
          <cell r="Z512">
            <v>43061</v>
          </cell>
        </row>
        <row r="513">
          <cell r="S513">
            <v>8612</v>
          </cell>
          <cell r="T513">
            <v>0</v>
          </cell>
          <cell r="U513">
            <v>0</v>
          </cell>
          <cell r="W513" t="str">
            <v>GQS</v>
          </cell>
          <cell r="Z513">
            <v>8612</v>
          </cell>
        </row>
        <row r="514">
          <cell r="S514">
            <v>17224</v>
          </cell>
          <cell r="T514">
            <v>0</v>
          </cell>
          <cell r="U514">
            <v>0</v>
          </cell>
          <cell r="W514" t="str">
            <v>GQS</v>
          </cell>
          <cell r="Z514">
            <v>17224</v>
          </cell>
        </row>
        <row r="515">
          <cell r="S515">
            <v>25837</v>
          </cell>
          <cell r="T515">
            <v>0</v>
          </cell>
          <cell r="U515">
            <v>0</v>
          </cell>
          <cell r="W515" t="str">
            <v>GQS</v>
          </cell>
          <cell r="Z515">
            <v>25837</v>
          </cell>
        </row>
        <row r="516">
          <cell r="S516">
            <v>25837</v>
          </cell>
          <cell r="T516">
            <v>0</v>
          </cell>
          <cell r="U516">
            <v>550000</v>
          </cell>
          <cell r="W516" t="str">
            <v>GQS</v>
          </cell>
          <cell r="Z516">
            <v>575837</v>
          </cell>
          <cell r="AB516" t="str">
            <v>PANEL</v>
          </cell>
        </row>
        <row r="517">
          <cell r="S517">
            <v>25837</v>
          </cell>
          <cell r="T517">
            <v>0</v>
          </cell>
          <cell r="U517">
            <v>120302</v>
          </cell>
          <cell r="W517" t="str">
            <v>GQS</v>
          </cell>
          <cell r="Z517">
            <v>146139</v>
          </cell>
          <cell r="AB517" t="str">
            <v>MAIN_UNIT</v>
          </cell>
        </row>
        <row r="518">
          <cell r="S518">
            <v>43061</v>
          </cell>
          <cell r="T518">
            <v>0</v>
          </cell>
          <cell r="U518">
            <v>64500</v>
          </cell>
          <cell r="W518" t="str">
            <v>GQS</v>
          </cell>
          <cell r="Z518">
            <v>107561</v>
          </cell>
          <cell r="AB518" t="str">
            <v>PART_KIT</v>
          </cell>
        </row>
        <row r="519">
          <cell r="S519">
            <v>43061</v>
          </cell>
          <cell r="T519">
            <v>0</v>
          </cell>
          <cell r="U519">
            <v>120105</v>
          </cell>
          <cell r="W519" t="str">
            <v>GQS</v>
          </cell>
          <cell r="Z519">
            <v>163166</v>
          </cell>
          <cell r="AB519" t="str">
            <v>MAIN_UNIT</v>
          </cell>
        </row>
        <row r="520">
          <cell r="S520">
            <v>43061</v>
          </cell>
          <cell r="T520">
            <v>0</v>
          </cell>
          <cell r="U520">
            <v>1066048</v>
          </cell>
          <cell r="W520" t="str">
            <v>GQS</v>
          </cell>
          <cell r="Z520">
            <v>1109109</v>
          </cell>
          <cell r="AB520" t="str">
            <v>PANEL</v>
          </cell>
        </row>
        <row r="521">
          <cell r="S521">
            <v>0</v>
          </cell>
          <cell r="T521">
            <v>0</v>
          </cell>
          <cell r="U521">
            <v>0</v>
          </cell>
          <cell r="W521" t="str">
            <v>GQS</v>
          </cell>
          <cell r="Z521">
            <v>0</v>
          </cell>
          <cell r="AB521" t="str">
            <v>TAPE</v>
          </cell>
        </row>
        <row r="522">
          <cell r="S522">
            <v>43061</v>
          </cell>
          <cell r="T522">
            <v>0</v>
          </cell>
          <cell r="U522">
            <v>571492</v>
          </cell>
          <cell r="W522" t="str">
            <v>GQS</v>
          </cell>
          <cell r="Z522">
            <v>614553</v>
          </cell>
          <cell r="AB522" t="str">
            <v>PANEL</v>
          </cell>
        </row>
        <row r="523">
          <cell r="S523">
            <v>25837</v>
          </cell>
          <cell r="T523">
            <v>0</v>
          </cell>
          <cell r="U523">
            <v>0</v>
          </cell>
          <cell r="W523" t="str">
            <v>GQS</v>
          </cell>
          <cell r="Z523">
            <v>25837</v>
          </cell>
        </row>
        <row r="524">
          <cell r="S524">
            <v>25837</v>
          </cell>
          <cell r="T524">
            <v>0</v>
          </cell>
          <cell r="U524">
            <v>1</v>
          </cell>
          <cell r="W524" t="str">
            <v>GQS</v>
          </cell>
          <cell r="Z524">
            <v>25838</v>
          </cell>
          <cell r="AB524" t="str">
            <v>PANEL</v>
          </cell>
        </row>
        <row r="525">
          <cell r="S525">
            <v>0</v>
          </cell>
          <cell r="T525">
            <v>0</v>
          </cell>
          <cell r="U525">
            <v>0</v>
          </cell>
          <cell r="W525" t="str">
            <v>GQS</v>
          </cell>
          <cell r="Z525">
            <v>0</v>
          </cell>
          <cell r="AB525" t="str">
            <v>PART_KIT</v>
          </cell>
        </row>
        <row r="526">
          <cell r="S526">
            <v>0</v>
          </cell>
          <cell r="T526">
            <v>0</v>
          </cell>
          <cell r="U526">
            <v>0</v>
          </cell>
          <cell r="W526" t="str">
            <v>GQS</v>
          </cell>
          <cell r="Z526">
            <v>0</v>
          </cell>
          <cell r="AB526" t="str">
            <v>TCON_UNIT</v>
          </cell>
        </row>
        <row r="527">
          <cell r="S527">
            <v>0</v>
          </cell>
          <cell r="T527">
            <v>0</v>
          </cell>
          <cell r="U527">
            <v>0</v>
          </cell>
          <cell r="W527" t="str">
            <v>GQS</v>
          </cell>
          <cell r="Z527">
            <v>0</v>
          </cell>
          <cell r="AB527" t="str">
            <v>LVDS_WIRE</v>
          </cell>
        </row>
        <row r="528">
          <cell r="S528">
            <v>86122</v>
          </cell>
          <cell r="T528">
            <v>0</v>
          </cell>
          <cell r="U528">
            <v>1818523</v>
          </cell>
          <cell r="W528" t="str">
            <v>GQS</v>
          </cell>
          <cell r="Z528">
            <v>1904645</v>
          </cell>
          <cell r="AB528" t="str">
            <v>PANEL</v>
          </cell>
        </row>
        <row r="529">
          <cell r="S529">
            <v>43061</v>
          </cell>
          <cell r="T529">
            <v>0</v>
          </cell>
          <cell r="U529">
            <v>1055402</v>
          </cell>
          <cell r="W529" t="str">
            <v>GQS</v>
          </cell>
          <cell r="Z529">
            <v>1098463</v>
          </cell>
          <cell r="AB529" t="str">
            <v>MAIN_UNIT</v>
          </cell>
        </row>
        <row r="530">
          <cell r="S530">
            <v>43061</v>
          </cell>
          <cell r="T530">
            <v>0</v>
          </cell>
          <cell r="U530">
            <v>1527311</v>
          </cell>
          <cell r="W530" t="str">
            <v>GQS</v>
          </cell>
          <cell r="Z530">
            <v>1570372</v>
          </cell>
          <cell r="AB530" t="str">
            <v>PANEL</v>
          </cell>
        </row>
        <row r="531">
          <cell r="S531">
            <v>34449</v>
          </cell>
          <cell r="T531">
            <v>0</v>
          </cell>
          <cell r="U531">
            <v>107744</v>
          </cell>
          <cell r="W531" t="str">
            <v>GQS</v>
          </cell>
          <cell r="Z531">
            <v>142193</v>
          </cell>
          <cell r="AB531" t="str">
            <v>MAIN_UNIT</v>
          </cell>
        </row>
        <row r="532">
          <cell r="S532">
            <v>43061</v>
          </cell>
          <cell r="T532">
            <v>0</v>
          </cell>
          <cell r="U532">
            <v>972376</v>
          </cell>
          <cell r="W532" t="str">
            <v>GQS</v>
          </cell>
          <cell r="Z532">
            <v>1015437</v>
          </cell>
          <cell r="AB532" t="str">
            <v>MAIN_UNIT</v>
          </cell>
        </row>
        <row r="533">
          <cell r="S533">
            <v>0</v>
          </cell>
          <cell r="T533">
            <v>0</v>
          </cell>
          <cell r="U533">
            <v>0</v>
          </cell>
          <cell r="W533" t="str">
            <v>GQS</v>
          </cell>
          <cell r="Z533">
            <v>0</v>
          </cell>
          <cell r="AB533" t="str">
            <v>TCON_UNIT</v>
          </cell>
        </row>
        <row r="534">
          <cell r="S534">
            <v>94734</v>
          </cell>
          <cell r="T534">
            <v>0</v>
          </cell>
          <cell r="U534">
            <v>1820477</v>
          </cell>
          <cell r="W534" t="str">
            <v>GQS</v>
          </cell>
          <cell r="Z534">
            <v>1915211</v>
          </cell>
          <cell r="AB534" t="str">
            <v>PANEL</v>
          </cell>
        </row>
        <row r="535">
          <cell r="S535">
            <v>0</v>
          </cell>
          <cell r="T535">
            <v>0</v>
          </cell>
          <cell r="U535">
            <v>0</v>
          </cell>
          <cell r="W535" t="str">
            <v>GQS</v>
          </cell>
          <cell r="Z535">
            <v>0</v>
          </cell>
          <cell r="AB535" t="str">
            <v>PART_KIT</v>
          </cell>
        </row>
        <row r="536">
          <cell r="S536">
            <v>0</v>
          </cell>
          <cell r="T536">
            <v>0</v>
          </cell>
          <cell r="U536">
            <v>0</v>
          </cell>
          <cell r="W536" t="str">
            <v>GQS</v>
          </cell>
          <cell r="Z536">
            <v>0</v>
          </cell>
          <cell r="AB536" t="str">
            <v>LVDS_WIRE</v>
          </cell>
        </row>
        <row r="537">
          <cell r="S537">
            <v>0</v>
          </cell>
          <cell r="T537">
            <v>0</v>
          </cell>
          <cell r="U537">
            <v>0</v>
          </cell>
          <cell r="W537" t="str">
            <v>GQS</v>
          </cell>
          <cell r="Z537">
            <v>0</v>
          </cell>
          <cell r="AB537" t="str">
            <v>TAPE</v>
          </cell>
        </row>
        <row r="538">
          <cell r="S538">
            <v>43061</v>
          </cell>
          <cell r="T538">
            <v>0</v>
          </cell>
          <cell r="U538">
            <v>658749</v>
          </cell>
          <cell r="W538" t="str">
            <v>GQS</v>
          </cell>
          <cell r="Z538">
            <v>701810</v>
          </cell>
          <cell r="AB538" t="str">
            <v>PANEL</v>
          </cell>
        </row>
        <row r="539">
          <cell r="S539">
            <v>43061</v>
          </cell>
          <cell r="T539">
            <v>0</v>
          </cell>
          <cell r="U539">
            <v>710447</v>
          </cell>
          <cell r="W539" t="str">
            <v>GQS</v>
          </cell>
          <cell r="Z539">
            <v>753508</v>
          </cell>
          <cell r="AB539" t="str">
            <v>MAIN_UNIT</v>
          </cell>
        </row>
        <row r="540">
          <cell r="S540">
            <v>0</v>
          </cell>
          <cell r="T540">
            <v>0</v>
          </cell>
          <cell r="U540">
            <v>0</v>
          </cell>
          <cell r="W540" t="str">
            <v>GQS</v>
          </cell>
          <cell r="Z540">
            <v>0</v>
          </cell>
          <cell r="AB540" t="str">
            <v>POWER_UNIT</v>
          </cell>
        </row>
        <row r="541">
          <cell r="S541">
            <v>43061</v>
          </cell>
          <cell r="T541">
            <v>0</v>
          </cell>
          <cell r="U541">
            <v>550000</v>
          </cell>
          <cell r="W541" t="str">
            <v>GQS</v>
          </cell>
          <cell r="Z541">
            <v>593061</v>
          </cell>
          <cell r="AB541" t="str">
            <v>PANEL</v>
          </cell>
        </row>
        <row r="542">
          <cell r="S542">
            <v>43061</v>
          </cell>
          <cell r="T542">
            <v>0</v>
          </cell>
          <cell r="U542">
            <v>617875</v>
          </cell>
          <cell r="W542" t="str">
            <v>GQS</v>
          </cell>
          <cell r="Z542">
            <v>660936</v>
          </cell>
          <cell r="AB542" t="str">
            <v>PANEL</v>
          </cell>
        </row>
        <row r="543">
          <cell r="S543">
            <v>0</v>
          </cell>
          <cell r="T543">
            <v>0</v>
          </cell>
          <cell r="U543">
            <v>0</v>
          </cell>
          <cell r="W543" t="str">
            <v>GQS</v>
          </cell>
          <cell r="Z543">
            <v>0</v>
          </cell>
          <cell r="AB543" t="str">
            <v>TAPE</v>
          </cell>
        </row>
        <row r="544">
          <cell r="S544">
            <v>43061</v>
          </cell>
          <cell r="T544">
            <v>0</v>
          </cell>
          <cell r="U544">
            <v>1476040</v>
          </cell>
          <cell r="W544" t="str">
            <v>GQS</v>
          </cell>
          <cell r="Z544">
            <v>1519101</v>
          </cell>
          <cell r="AB544" t="str">
            <v>PANEL</v>
          </cell>
        </row>
        <row r="545">
          <cell r="S545">
            <v>43061</v>
          </cell>
          <cell r="T545">
            <v>0</v>
          </cell>
          <cell r="U545">
            <v>614800</v>
          </cell>
          <cell r="W545" t="str">
            <v>GQS</v>
          </cell>
          <cell r="Z545">
            <v>657861</v>
          </cell>
          <cell r="AB545" t="str">
            <v>MAIN_UNIT</v>
          </cell>
        </row>
        <row r="546">
          <cell r="S546">
            <v>0</v>
          </cell>
          <cell r="T546">
            <v>0</v>
          </cell>
          <cell r="U546">
            <v>0</v>
          </cell>
          <cell r="W546" t="str">
            <v>GQS</v>
          </cell>
          <cell r="Z546">
            <v>0</v>
          </cell>
          <cell r="AB546" t="str">
            <v>TAPE</v>
          </cell>
        </row>
        <row r="547">
          <cell r="S547">
            <v>86122</v>
          </cell>
          <cell r="T547">
            <v>0</v>
          </cell>
          <cell r="U547">
            <v>685750</v>
          </cell>
          <cell r="W547" t="str">
            <v>GQS</v>
          </cell>
          <cell r="Z547">
            <v>771872</v>
          </cell>
          <cell r="AB547" t="str">
            <v>PANEL</v>
          </cell>
        </row>
        <row r="548">
          <cell r="S548">
            <v>25837</v>
          </cell>
          <cell r="T548">
            <v>0</v>
          </cell>
          <cell r="U548">
            <v>67876</v>
          </cell>
          <cell r="W548" t="str">
            <v>GQS</v>
          </cell>
          <cell r="Z548">
            <v>93713</v>
          </cell>
          <cell r="AB548" t="str">
            <v>TAPE</v>
          </cell>
        </row>
        <row r="549">
          <cell r="S549">
            <v>43061</v>
          </cell>
          <cell r="T549">
            <v>0</v>
          </cell>
          <cell r="U549">
            <v>30000</v>
          </cell>
          <cell r="W549" t="str">
            <v>GQS</v>
          </cell>
          <cell r="Z549">
            <v>73061</v>
          </cell>
          <cell r="AB549" t="str">
            <v>LED_BAR</v>
          </cell>
        </row>
        <row r="550">
          <cell r="S550">
            <v>0</v>
          </cell>
          <cell r="T550">
            <v>0</v>
          </cell>
          <cell r="U550">
            <v>0</v>
          </cell>
          <cell r="W550" t="str">
            <v>GQS</v>
          </cell>
          <cell r="Z550">
            <v>0</v>
          </cell>
          <cell r="AB550" t="str">
            <v>MAIN_UNIT</v>
          </cell>
        </row>
        <row r="551">
          <cell r="S551">
            <v>43061</v>
          </cell>
          <cell r="T551">
            <v>0</v>
          </cell>
          <cell r="U551">
            <v>1109771</v>
          </cell>
          <cell r="W551" t="str">
            <v>GQS</v>
          </cell>
          <cell r="Z551">
            <v>1152832</v>
          </cell>
          <cell r="AB551" t="str">
            <v>PANEL</v>
          </cell>
        </row>
        <row r="552">
          <cell r="S552">
            <v>43061</v>
          </cell>
          <cell r="T552">
            <v>0</v>
          </cell>
          <cell r="U552">
            <v>107745</v>
          </cell>
          <cell r="W552" t="str">
            <v>GQS</v>
          </cell>
          <cell r="Z552">
            <v>150806</v>
          </cell>
          <cell r="AB552" t="str">
            <v>MAIN_UNIT</v>
          </cell>
        </row>
        <row r="553">
          <cell r="S553">
            <v>0</v>
          </cell>
          <cell r="T553">
            <v>0</v>
          </cell>
          <cell r="U553">
            <v>0</v>
          </cell>
          <cell r="W553" t="str">
            <v>GQS</v>
          </cell>
          <cell r="Z553">
            <v>0</v>
          </cell>
          <cell r="AB553" t="str">
            <v>TAPE</v>
          </cell>
        </row>
        <row r="554">
          <cell r="S554">
            <v>34449</v>
          </cell>
          <cell r="T554">
            <v>0</v>
          </cell>
          <cell r="U554">
            <v>617875</v>
          </cell>
          <cell r="W554" t="str">
            <v>GQS</v>
          </cell>
          <cell r="Z554">
            <v>652324</v>
          </cell>
          <cell r="AB554" t="str">
            <v>PANEL</v>
          </cell>
        </row>
        <row r="555">
          <cell r="S555">
            <v>0</v>
          </cell>
          <cell r="T555">
            <v>0</v>
          </cell>
          <cell r="U555">
            <v>0</v>
          </cell>
          <cell r="W555" t="str">
            <v>GQS</v>
          </cell>
          <cell r="Z555">
            <v>0</v>
          </cell>
          <cell r="AB555" t="str">
            <v>TAPE</v>
          </cell>
        </row>
        <row r="556">
          <cell r="S556">
            <v>60285</v>
          </cell>
          <cell r="T556">
            <v>0</v>
          </cell>
          <cell r="U556">
            <v>590872</v>
          </cell>
          <cell r="W556" t="str">
            <v>GQS</v>
          </cell>
          <cell r="Z556">
            <v>651157</v>
          </cell>
          <cell r="AB556" t="str">
            <v>PANEL</v>
          </cell>
        </row>
        <row r="557">
          <cell r="S557">
            <v>86122</v>
          </cell>
          <cell r="T557">
            <v>0</v>
          </cell>
          <cell r="U557">
            <v>325972</v>
          </cell>
          <cell r="W557" t="str">
            <v>GQS</v>
          </cell>
          <cell r="Z557">
            <v>412094</v>
          </cell>
          <cell r="AB557" t="str">
            <v>MAIN_UNIT</v>
          </cell>
        </row>
        <row r="558">
          <cell r="S558">
            <v>43061</v>
          </cell>
          <cell r="T558">
            <v>0</v>
          </cell>
          <cell r="U558">
            <v>120105</v>
          </cell>
          <cell r="W558" t="str">
            <v>GQS</v>
          </cell>
          <cell r="Z558">
            <v>163166</v>
          </cell>
          <cell r="AB558" t="str">
            <v>MAIN_UNIT</v>
          </cell>
        </row>
        <row r="559">
          <cell r="S559">
            <v>43061</v>
          </cell>
          <cell r="T559">
            <v>0</v>
          </cell>
          <cell r="U559">
            <v>100000</v>
          </cell>
          <cell r="W559" t="str">
            <v>GQS</v>
          </cell>
          <cell r="Z559">
            <v>143061</v>
          </cell>
          <cell r="AB559" t="str">
            <v>LED_BAR</v>
          </cell>
        </row>
        <row r="560">
          <cell r="S560">
            <v>51673</v>
          </cell>
          <cell r="T560">
            <v>0</v>
          </cell>
          <cell r="U560">
            <v>299936</v>
          </cell>
          <cell r="W560" t="str">
            <v>GQS</v>
          </cell>
          <cell r="Z560">
            <v>351609</v>
          </cell>
          <cell r="AB560" t="str">
            <v>MAIN_UNIT</v>
          </cell>
        </row>
        <row r="561">
          <cell r="S561">
            <v>60285</v>
          </cell>
          <cell r="T561">
            <v>0</v>
          </cell>
          <cell r="U561">
            <v>120302</v>
          </cell>
          <cell r="W561" t="str">
            <v>GQS</v>
          </cell>
          <cell r="Z561">
            <v>180587</v>
          </cell>
          <cell r="AB561" t="str">
            <v>MAIN_UNIT</v>
          </cell>
        </row>
        <row r="562">
          <cell r="S562">
            <v>43061</v>
          </cell>
          <cell r="T562">
            <v>0</v>
          </cell>
          <cell r="U562">
            <v>701921</v>
          </cell>
          <cell r="W562" t="str">
            <v>GQS</v>
          </cell>
          <cell r="Z562">
            <v>744982</v>
          </cell>
          <cell r="AB562" t="str">
            <v>PANEL</v>
          </cell>
        </row>
        <row r="563">
          <cell r="S563">
            <v>43061</v>
          </cell>
          <cell r="T563">
            <v>0</v>
          </cell>
          <cell r="U563">
            <v>37967</v>
          </cell>
          <cell r="W563" t="str">
            <v>GQS</v>
          </cell>
          <cell r="Z563">
            <v>81028</v>
          </cell>
          <cell r="AB563" t="str">
            <v>MAIN_UNIT</v>
          </cell>
        </row>
        <row r="564">
          <cell r="S564">
            <v>86122</v>
          </cell>
          <cell r="T564">
            <v>0</v>
          </cell>
          <cell r="U564">
            <v>490572</v>
          </cell>
          <cell r="W564" t="str">
            <v>GQS</v>
          </cell>
          <cell r="Z564">
            <v>576694</v>
          </cell>
          <cell r="AB564" t="str">
            <v>POWER_UNIT</v>
          </cell>
        </row>
        <row r="565">
          <cell r="S565">
            <v>25837</v>
          </cell>
          <cell r="T565">
            <v>0</v>
          </cell>
          <cell r="U565">
            <v>299936</v>
          </cell>
          <cell r="W565" t="str">
            <v>GQS</v>
          </cell>
          <cell r="Z565">
            <v>325773</v>
          </cell>
          <cell r="AB565" t="str">
            <v>MAIN_UNIT</v>
          </cell>
        </row>
        <row r="566">
          <cell r="S566">
            <v>25837</v>
          </cell>
          <cell r="T566">
            <v>0</v>
          </cell>
          <cell r="U566">
            <v>316600</v>
          </cell>
          <cell r="W566" t="str">
            <v>GQS</v>
          </cell>
          <cell r="Z566">
            <v>342437</v>
          </cell>
          <cell r="AB566" t="str">
            <v>MAIN_UNIT</v>
          </cell>
        </row>
        <row r="567">
          <cell r="S567">
            <v>68898</v>
          </cell>
          <cell r="T567">
            <v>0</v>
          </cell>
          <cell r="U567">
            <v>569380</v>
          </cell>
          <cell r="W567" t="str">
            <v>GQS</v>
          </cell>
          <cell r="Z567">
            <v>638278</v>
          </cell>
          <cell r="AB567" t="str">
            <v>PANEL</v>
          </cell>
        </row>
        <row r="568">
          <cell r="S568">
            <v>43061</v>
          </cell>
          <cell r="T568">
            <v>0</v>
          </cell>
          <cell r="U568">
            <v>569380</v>
          </cell>
          <cell r="W568" t="str">
            <v>GQS</v>
          </cell>
          <cell r="Z568">
            <v>612441</v>
          </cell>
          <cell r="AB568" t="str">
            <v>PANEL</v>
          </cell>
        </row>
        <row r="569">
          <cell r="S569">
            <v>25837</v>
          </cell>
          <cell r="T569">
            <v>0</v>
          </cell>
          <cell r="U569">
            <v>610638</v>
          </cell>
          <cell r="W569" t="str">
            <v>GQS</v>
          </cell>
          <cell r="Z569">
            <v>636475</v>
          </cell>
          <cell r="AB569" t="str">
            <v>MAIN_UNIT</v>
          </cell>
        </row>
        <row r="570">
          <cell r="S570">
            <v>25837</v>
          </cell>
          <cell r="T570">
            <v>0</v>
          </cell>
          <cell r="U570">
            <v>554475</v>
          </cell>
          <cell r="W570" t="str">
            <v>GQS</v>
          </cell>
          <cell r="Z570">
            <v>580312</v>
          </cell>
          <cell r="AB570" t="str">
            <v>MAIN_UNIT</v>
          </cell>
        </row>
        <row r="571">
          <cell r="S571">
            <v>0</v>
          </cell>
          <cell r="T571">
            <v>0</v>
          </cell>
          <cell r="U571">
            <v>0</v>
          </cell>
          <cell r="W571" t="str">
            <v>GQS</v>
          </cell>
          <cell r="Z571">
            <v>0</v>
          </cell>
          <cell r="AB571" t="str">
            <v>TAPE</v>
          </cell>
        </row>
        <row r="572">
          <cell r="S572">
            <v>43061</v>
          </cell>
          <cell r="T572">
            <v>0</v>
          </cell>
          <cell r="U572">
            <v>617875</v>
          </cell>
          <cell r="W572" t="str">
            <v>GQS</v>
          </cell>
          <cell r="Z572">
            <v>660936</v>
          </cell>
          <cell r="AB572" t="str">
            <v>PANEL</v>
          </cell>
        </row>
        <row r="573">
          <cell r="S573">
            <v>43061</v>
          </cell>
          <cell r="T573">
            <v>0</v>
          </cell>
          <cell r="U573">
            <v>1055402</v>
          </cell>
          <cell r="W573" t="str">
            <v>GQS</v>
          </cell>
          <cell r="Z573">
            <v>1098463</v>
          </cell>
          <cell r="AB573" t="str">
            <v>MAIN_UNIT</v>
          </cell>
        </row>
        <row r="574">
          <cell r="S574">
            <v>43061</v>
          </cell>
          <cell r="T574">
            <v>0</v>
          </cell>
          <cell r="U574">
            <v>571945</v>
          </cell>
          <cell r="W574" t="str">
            <v>GQS</v>
          </cell>
          <cell r="Z574">
            <v>615006</v>
          </cell>
          <cell r="AB574" t="str">
            <v>PANEL</v>
          </cell>
        </row>
        <row r="575">
          <cell r="S575">
            <v>43061</v>
          </cell>
          <cell r="T575">
            <v>0</v>
          </cell>
          <cell r="U575">
            <v>367125</v>
          </cell>
          <cell r="W575" t="str">
            <v>GQS</v>
          </cell>
          <cell r="Z575">
            <v>410186</v>
          </cell>
          <cell r="AB575" t="str">
            <v>PANEL</v>
          </cell>
        </row>
        <row r="576">
          <cell r="S576">
            <v>43061</v>
          </cell>
          <cell r="T576">
            <v>0</v>
          </cell>
          <cell r="U576">
            <v>610638</v>
          </cell>
          <cell r="W576" t="str">
            <v>GQS</v>
          </cell>
          <cell r="Z576">
            <v>653699</v>
          </cell>
          <cell r="AB576" t="str">
            <v>MAIN_UNIT</v>
          </cell>
        </row>
        <row r="577">
          <cell r="S577">
            <v>25837</v>
          </cell>
          <cell r="T577">
            <v>0</v>
          </cell>
          <cell r="U577">
            <v>0</v>
          </cell>
          <cell r="W577" t="str">
            <v>GQS</v>
          </cell>
          <cell r="Z577">
            <v>25837</v>
          </cell>
        </row>
        <row r="578">
          <cell r="S578">
            <v>60285</v>
          </cell>
          <cell r="T578">
            <v>0</v>
          </cell>
          <cell r="U578">
            <v>299936</v>
          </cell>
          <cell r="W578" t="str">
            <v>GQS</v>
          </cell>
          <cell r="Z578">
            <v>360221</v>
          </cell>
          <cell r="AB578" t="str">
            <v>MAIN_UNIT</v>
          </cell>
        </row>
        <row r="579">
          <cell r="S579">
            <v>43061</v>
          </cell>
          <cell r="T579">
            <v>0</v>
          </cell>
          <cell r="U579">
            <v>969798</v>
          </cell>
          <cell r="W579" t="str">
            <v>GQS</v>
          </cell>
          <cell r="Z579">
            <v>1012859</v>
          </cell>
          <cell r="AB579" t="str">
            <v>PANEL</v>
          </cell>
        </row>
        <row r="580">
          <cell r="S580">
            <v>43061</v>
          </cell>
          <cell r="T580">
            <v>0</v>
          </cell>
          <cell r="U580">
            <v>409443</v>
          </cell>
          <cell r="W580" t="str">
            <v>GQS</v>
          </cell>
          <cell r="Z580">
            <v>452504</v>
          </cell>
          <cell r="AB580" t="str">
            <v>MAIN_UNIT</v>
          </cell>
        </row>
        <row r="581">
          <cell r="S581">
            <v>43061</v>
          </cell>
          <cell r="T581">
            <v>0</v>
          </cell>
          <cell r="U581">
            <v>1066048</v>
          </cell>
          <cell r="W581" t="str">
            <v>GQS</v>
          </cell>
          <cell r="Z581">
            <v>1109109</v>
          </cell>
          <cell r="AB581" t="str">
            <v>PANEL</v>
          </cell>
        </row>
        <row r="582">
          <cell r="S582">
            <v>0</v>
          </cell>
          <cell r="T582">
            <v>0</v>
          </cell>
          <cell r="U582">
            <v>0</v>
          </cell>
          <cell r="W582" t="str">
            <v>GQS</v>
          </cell>
          <cell r="Z582">
            <v>0</v>
          </cell>
          <cell r="AB582" t="str">
            <v>TAPE</v>
          </cell>
        </row>
        <row r="583">
          <cell r="S583">
            <v>43061</v>
          </cell>
          <cell r="T583">
            <v>0</v>
          </cell>
          <cell r="U583">
            <v>969798</v>
          </cell>
          <cell r="W583" t="str">
            <v>GQS</v>
          </cell>
          <cell r="Z583">
            <v>1012859</v>
          </cell>
          <cell r="AB583" t="str">
            <v>PANEL</v>
          </cell>
        </row>
        <row r="584">
          <cell r="S584">
            <v>43061</v>
          </cell>
          <cell r="T584">
            <v>0</v>
          </cell>
          <cell r="U584">
            <v>113226</v>
          </cell>
          <cell r="W584" t="str">
            <v>GQS</v>
          </cell>
          <cell r="Z584">
            <v>156287</v>
          </cell>
          <cell r="AB584" t="str">
            <v>MAIN_UNIT</v>
          </cell>
        </row>
        <row r="585">
          <cell r="S585">
            <v>43061</v>
          </cell>
          <cell r="T585">
            <v>0</v>
          </cell>
          <cell r="U585">
            <v>0</v>
          </cell>
          <cell r="W585" t="str">
            <v>GQS</v>
          </cell>
          <cell r="Z585">
            <v>43061</v>
          </cell>
        </row>
        <row r="586">
          <cell r="S586">
            <v>43061</v>
          </cell>
          <cell r="T586">
            <v>0</v>
          </cell>
          <cell r="U586">
            <v>1373767</v>
          </cell>
          <cell r="W586" t="str">
            <v>GQS</v>
          </cell>
          <cell r="Z586">
            <v>1416828</v>
          </cell>
          <cell r="AB586" t="str">
            <v>PANEL</v>
          </cell>
        </row>
        <row r="587">
          <cell r="S587">
            <v>43061</v>
          </cell>
          <cell r="T587">
            <v>0</v>
          </cell>
          <cell r="U587">
            <v>602572</v>
          </cell>
          <cell r="W587" t="str">
            <v>GQS</v>
          </cell>
          <cell r="Z587">
            <v>645633</v>
          </cell>
          <cell r="AB587" t="str">
            <v>MAIN_UNIT</v>
          </cell>
        </row>
        <row r="588">
          <cell r="S588">
            <v>43061</v>
          </cell>
          <cell r="T588">
            <v>0</v>
          </cell>
          <cell r="U588">
            <v>297603</v>
          </cell>
          <cell r="W588" t="str">
            <v>GQS</v>
          </cell>
          <cell r="Z588">
            <v>340664</v>
          </cell>
          <cell r="AB588" t="str">
            <v>MAIN_UNIT</v>
          </cell>
        </row>
        <row r="589">
          <cell r="S589">
            <v>34449</v>
          </cell>
          <cell r="T589">
            <v>0</v>
          </cell>
          <cell r="U589">
            <v>299936</v>
          </cell>
          <cell r="W589" t="str">
            <v>GQS</v>
          </cell>
          <cell r="Z589">
            <v>334385</v>
          </cell>
          <cell r="AB589" t="str">
            <v>MAIN_UNIT</v>
          </cell>
        </row>
        <row r="590">
          <cell r="S590">
            <v>43061</v>
          </cell>
          <cell r="T590">
            <v>0</v>
          </cell>
          <cell r="U590">
            <v>0</v>
          </cell>
          <cell r="W590" t="str">
            <v>GQS</v>
          </cell>
          <cell r="Z590">
            <v>43061</v>
          </cell>
        </row>
        <row r="591">
          <cell r="S591">
            <v>43061</v>
          </cell>
          <cell r="T591">
            <v>0</v>
          </cell>
          <cell r="U591">
            <v>747347</v>
          </cell>
          <cell r="W591" t="str">
            <v>GQS</v>
          </cell>
          <cell r="Z591">
            <v>790408</v>
          </cell>
          <cell r="AB591" t="str">
            <v>MAIN_UNIT</v>
          </cell>
        </row>
        <row r="592">
          <cell r="S592">
            <v>34449</v>
          </cell>
          <cell r="T592">
            <v>0</v>
          </cell>
          <cell r="U592">
            <v>297604</v>
          </cell>
          <cell r="W592" t="str">
            <v>GQS</v>
          </cell>
          <cell r="Z592">
            <v>332053</v>
          </cell>
          <cell r="AB592" t="str">
            <v>MAIN_UNIT</v>
          </cell>
        </row>
        <row r="593">
          <cell r="S593">
            <v>51673</v>
          </cell>
          <cell r="T593">
            <v>0</v>
          </cell>
          <cell r="U593">
            <v>297604</v>
          </cell>
          <cell r="W593" t="str">
            <v>GQS</v>
          </cell>
          <cell r="Z593">
            <v>349277</v>
          </cell>
          <cell r="AB593" t="str">
            <v>MAIN_UNIT</v>
          </cell>
        </row>
        <row r="594">
          <cell r="S594">
            <v>43061</v>
          </cell>
          <cell r="T594">
            <v>0</v>
          </cell>
          <cell r="U594">
            <v>569380</v>
          </cell>
          <cell r="W594" t="str">
            <v>GQS</v>
          </cell>
          <cell r="Z594">
            <v>612441</v>
          </cell>
          <cell r="AB594" t="str">
            <v>PANEL</v>
          </cell>
        </row>
        <row r="595">
          <cell r="S595">
            <v>25837</v>
          </cell>
          <cell r="T595">
            <v>0</v>
          </cell>
          <cell r="U595">
            <v>8953</v>
          </cell>
          <cell r="W595" t="str">
            <v>GQS</v>
          </cell>
          <cell r="Z595">
            <v>34790</v>
          </cell>
          <cell r="AB595" t="str">
            <v>REMOTE_CONTROL</v>
          </cell>
        </row>
        <row r="596">
          <cell r="S596">
            <v>43061</v>
          </cell>
          <cell r="T596">
            <v>0</v>
          </cell>
          <cell r="U596">
            <v>297604</v>
          </cell>
          <cell r="W596" t="str">
            <v>GQS</v>
          </cell>
          <cell r="Z596">
            <v>340665</v>
          </cell>
          <cell r="AB596" t="str">
            <v>MAIN_UNIT</v>
          </cell>
        </row>
        <row r="597">
          <cell r="S597">
            <v>43061</v>
          </cell>
          <cell r="T597">
            <v>0</v>
          </cell>
          <cell r="U597">
            <v>299936</v>
          </cell>
          <cell r="W597" t="str">
            <v>GQS</v>
          </cell>
          <cell r="Z597">
            <v>342997</v>
          </cell>
          <cell r="AB597" t="str">
            <v>MAIN_UNIT</v>
          </cell>
        </row>
        <row r="598">
          <cell r="S598">
            <v>25837</v>
          </cell>
          <cell r="T598">
            <v>0</v>
          </cell>
          <cell r="U598">
            <v>0</v>
          </cell>
          <cell r="W598" t="str">
            <v>GQS</v>
          </cell>
          <cell r="Z598">
            <v>25837</v>
          </cell>
        </row>
        <row r="599">
          <cell r="S599">
            <v>0</v>
          </cell>
          <cell r="T599">
            <v>0</v>
          </cell>
          <cell r="U599">
            <v>0</v>
          </cell>
          <cell r="W599" t="str">
            <v>GQS</v>
          </cell>
          <cell r="Z599">
            <v>0</v>
          </cell>
          <cell r="AB599" t="str">
            <v>TAPE</v>
          </cell>
        </row>
        <row r="600">
          <cell r="S600">
            <v>86122</v>
          </cell>
          <cell r="T600">
            <v>0</v>
          </cell>
          <cell r="U600">
            <v>1197066</v>
          </cell>
          <cell r="W600" t="str">
            <v>GQS</v>
          </cell>
          <cell r="Z600">
            <v>1283188</v>
          </cell>
          <cell r="AB600" t="str">
            <v>PANEL</v>
          </cell>
        </row>
        <row r="601">
          <cell r="S601">
            <v>25837</v>
          </cell>
          <cell r="T601">
            <v>0</v>
          </cell>
          <cell r="U601">
            <v>0</v>
          </cell>
          <cell r="W601" t="str">
            <v>GQS</v>
          </cell>
          <cell r="Z601">
            <v>25837</v>
          </cell>
        </row>
        <row r="602">
          <cell r="S602">
            <v>43061</v>
          </cell>
          <cell r="T602">
            <v>0</v>
          </cell>
          <cell r="U602">
            <v>969798</v>
          </cell>
          <cell r="W602" t="str">
            <v>GQS</v>
          </cell>
          <cell r="Z602">
            <v>1012859</v>
          </cell>
          <cell r="AB602" t="str">
            <v>PANEL</v>
          </cell>
        </row>
        <row r="603">
          <cell r="S603">
            <v>43061</v>
          </cell>
          <cell r="T603">
            <v>0</v>
          </cell>
          <cell r="U603">
            <v>569380</v>
          </cell>
          <cell r="W603" t="str">
            <v>GQS</v>
          </cell>
          <cell r="Z603">
            <v>612441</v>
          </cell>
          <cell r="AB603" t="str">
            <v>PANEL</v>
          </cell>
        </row>
        <row r="604">
          <cell r="S604">
            <v>43061</v>
          </cell>
          <cell r="T604">
            <v>0</v>
          </cell>
          <cell r="U604">
            <v>299936</v>
          </cell>
          <cell r="W604" t="str">
            <v>GQS</v>
          </cell>
          <cell r="Z604">
            <v>342997</v>
          </cell>
          <cell r="AB604" t="str">
            <v>MAIN_UNIT</v>
          </cell>
        </row>
        <row r="605">
          <cell r="S605">
            <v>43061</v>
          </cell>
          <cell r="T605">
            <v>0</v>
          </cell>
          <cell r="U605">
            <v>297604</v>
          </cell>
          <cell r="W605" t="str">
            <v>GQS</v>
          </cell>
          <cell r="Z605">
            <v>340665</v>
          </cell>
          <cell r="AB605" t="str">
            <v>MAIN_UNIT</v>
          </cell>
        </row>
        <row r="606">
          <cell r="S606">
            <v>86122</v>
          </cell>
          <cell r="T606">
            <v>0</v>
          </cell>
          <cell r="U606">
            <v>95007</v>
          </cell>
          <cell r="W606" t="str">
            <v>GQS</v>
          </cell>
          <cell r="Z606">
            <v>181129</v>
          </cell>
          <cell r="AB606" t="str">
            <v>LED_BAR</v>
          </cell>
        </row>
        <row r="607">
          <cell r="S607">
            <v>0</v>
          </cell>
          <cell r="T607">
            <v>0</v>
          </cell>
          <cell r="U607">
            <v>0</v>
          </cell>
          <cell r="W607" t="str">
            <v>GQS</v>
          </cell>
          <cell r="Z607">
            <v>0</v>
          </cell>
          <cell r="AB607" t="str">
            <v>IC</v>
          </cell>
        </row>
        <row r="608">
          <cell r="S608">
            <v>43061</v>
          </cell>
          <cell r="T608">
            <v>0</v>
          </cell>
          <cell r="U608">
            <v>569380</v>
          </cell>
          <cell r="W608" t="str">
            <v>GQS</v>
          </cell>
          <cell r="Z608">
            <v>612441</v>
          </cell>
          <cell r="AB608" t="str">
            <v>PANEL</v>
          </cell>
        </row>
        <row r="609">
          <cell r="S609">
            <v>43061</v>
          </cell>
          <cell r="T609">
            <v>0</v>
          </cell>
          <cell r="U609">
            <v>12469</v>
          </cell>
          <cell r="W609" t="str">
            <v>GQS</v>
          </cell>
          <cell r="Z609">
            <v>55530</v>
          </cell>
          <cell r="AB609" t="str">
            <v>REMOTE_CONTROL</v>
          </cell>
        </row>
        <row r="610">
          <cell r="S610">
            <v>34449</v>
          </cell>
          <cell r="T610">
            <v>0</v>
          </cell>
          <cell r="U610">
            <v>610637</v>
          </cell>
          <cell r="W610" t="str">
            <v>GQS</v>
          </cell>
          <cell r="Z610">
            <v>645086</v>
          </cell>
          <cell r="AB610" t="str">
            <v>MAIN_UNIT</v>
          </cell>
        </row>
        <row r="611">
          <cell r="S611">
            <v>43061</v>
          </cell>
          <cell r="T611">
            <v>0</v>
          </cell>
          <cell r="U611">
            <v>0</v>
          </cell>
          <cell r="W611" t="str">
            <v>GQS</v>
          </cell>
          <cell r="Z611">
            <v>43061</v>
          </cell>
        </row>
        <row r="612">
          <cell r="S612">
            <v>25837</v>
          </cell>
          <cell r="T612">
            <v>0</v>
          </cell>
          <cell r="U612">
            <v>0</v>
          </cell>
          <cell r="W612" t="str">
            <v>GQS</v>
          </cell>
          <cell r="Z612">
            <v>25837</v>
          </cell>
        </row>
        <row r="613">
          <cell r="S613">
            <v>25837</v>
          </cell>
          <cell r="T613">
            <v>0</v>
          </cell>
          <cell r="U613">
            <v>12469</v>
          </cell>
          <cell r="W613" t="str">
            <v>GQS</v>
          </cell>
          <cell r="Z613">
            <v>38306</v>
          </cell>
          <cell r="AB613" t="str">
            <v>REMOTE_CONTROL</v>
          </cell>
        </row>
        <row r="614">
          <cell r="S614">
            <v>25837</v>
          </cell>
          <cell r="T614">
            <v>0</v>
          </cell>
          <cell r="U614">
            <v>0</v>
          </cell>
          <cell r="W614" t="str">
            <v>GQS</v>
          </cell>
          <cell r="Z614">
            <v>25837</v>
          </cell>
        </row>
        <row r="615">
          <cell r="S615">
            <v>25837</v>
          </cell>
          <cell r="T615">
            <v>0</v>
          </cell>
          <cell r="U615">
            <v>0</v>
          </cell>
          <cell r="W615" t="str">
            <v>GQS</v>
          </cell>
          <cell r="Z615">
            <v>25837</v>
          </cell>
        </row>
        <row r="616">
          <cell r="S616">
            <v>86122</v>
          </cell>
          <cell r="T616">
            <v>0</v>
          </cell>
          <cell r="U616">
            <v>969798</v>
          </cell>
          <cell r="W616" t="str">
            <v>GQS</v>
          </cell>
          <cell r="Z616">
            <v>1055920</v>
          </cell>
          <cell r="AB616" t="str">
            <v>PANEL</v>
          </cell>
        </row>
        <row r="617">
          <cell r="S617">
            <v>0</v>
          </cell>
          <cell r="T617">
            <v>0</v>
          </cell>
          <cell r="U617">
            <v>0</v>
          </cell>
          <cell r="W617" t="str">
            <v>GQS</v>
          </cell>
          <cell r="Z617">
            <v>0</v>
          </cell>
          <cell r="AB617" t="str">
            <v>TAPE</v>
          </cell>
        </row>
        <row r="618">
          <cell r="S618">
            <v>25837</v>
          </cell>
          <cell r="T618">
            <v>0</v>
          </cell>
          <cell r="U618">
            <v>617876</v>
          </cell>
          <cell r="W618" t="str">
            <v>GQS</v>
          </cell>
          <cell r="Z618">
            <v>643713</v>
          </cell>
          <cell r="AB618" t="str">
            <v>PANEL</v>
          </cell>
        </row>
        <row r="619">
          <cell r="S619">
            <v>34449</v>
          </cell>
          <cell r="T619">
            <v>0</v>
          </cell>
          <cell r="U619">
            <v>969798</v>
          </cell>
          <cell r="W619" t="str">
            <v>GQS</v>
          </cell>
          <cell r="Z619">
            <v>1004247</v>
          </cell>
          <cell r="AB619" t="str">
            <v>PANEL</v>
          </cell>
        </row>
        <row r="620">
          <cell r="S620">
            <v>43061</v>
          </cell>
          <cell r="T620">
            <v>0</v>
          </cell>
          <cell r="U620">
            <v>1066048</v>
          </cell>
          <cell r="W620" t="str">
            <v>GQS</v>
          </cell>
          <cell r="Z620">
            <v>1109109</v>
          </cell>
          <cell r="AB620" t="str">
            <v>PANEL</v>
          </cell>
        </row>
        <row r="621">
          <cell r="S621">
            <v>0</v>
          </cell>
          <cell r="T621">
            <v>0</v>
          </cell>
          <cell r="U621">
            <v>0</v>
          </cell>
          <cell r="W621" t="str">
            <v>GQS</v>
          </cell>
          <cell r="Z621">
            <v>0</v>
          </cell>
          <cell r="AB621" t="str">
            <v>TAPE</v>
          </cell>
        </row>
        <row r="622">
          <cell r="S622">
            <v>17224</v>
          </cell>
          <cell r="T622">
            <v>0</v>
          </cell>
          <cell r="U622">
            <v>969798</v>
          </cell>
          <cell r="W622" t="str">
            <v>GQS</v>
          </cell>
          <cell r="Z622">
            <v>987022</v>
          </cell>
          <cell r="AB622" t="str">
            <v>PANEL</v>
          </cell>
        </row>
        <row r="623">
          <cell r="S623">
            <v>86122</v>
          </cell>
          <cell r="T623">
            <v>0</v>
          </cell>
          <cell r="U623">
            <v>969798</v>
          </cell>
          <cell r="W623" t="str">
            <v>GQS</v>
          </cell>
          <cell r="Z623">
            <v>1055920</v>
          </cell>
          <cell r="AB623" t="str">
            <v>PANEL</v>
          </cell>
        </row>
        <row r="624">
          <cell r="S624">
            <v>25837</v>
          </cell>
          <cell r="T624">
            <v>0</v>
          </cell>
          <cell r="U624">
            <v>0</v>
          </cell>
          <cell r="W624" t="str">
            <v>GQS</v>
          </cell>
          <cell r="Z624">
            <v>25837</v>
          </cell>
        </row>
        <row r="625">
          <cell r="S625">
            <v>86122</v>
          </cell>
          <cell r="T625">
            <v>0</v>
          </cell>
          <cell r="U625">
            <v>969798</v>
          </cell>
          <cell r="W625" t="str">
            <v>GQS</v>
          </cell>
          <cell r="Z625">
            <v>1055920</v>
          </cell>
          <cell r="AB625" t="str">
            <v>PANEL</v>
          </cell>
        </row>
        <row r="626">
          <cell r="S626">
            <v>86122</v>
          </cell>
          <cell r="T626">
            <v>0</v>
          </cell>
          <cell r="U626">
            <v>969798</v>
          </cell>
          <cell r="W626" t="str">
            <v>GQS</v>
          </cell>
          <cell r="Z626">
            <v>1055920</v>
          </cell>
          <cell r="AB626" t="str">
            <v>PANEL</v>
          </cell>
        </row>
        <row r="627">
          <cell r="S627">
            <v>0</v>
          </cell>
          <cell r="T627">
            <v>0</v>
          </cell>
          <cell r="U627">
            <v>0</v>
          </cell>
          <cell r="W627" t="str">
            <v>GQS</v>
          </cell>
          <cell r="Z627">
            <v>0</v>
          </cell>
          <cell r="AB627" t="str">
            <v>REMOTE_CONTROL</v>
          </cell>
        </row>
        <row r="628">
          <cell r="S628">
            <v>86122</v>
          </cell>
          <cell r="T628">
            <v>0</v>
          </cell>
          <cell r="U628">
            <v>2880848</v>
          </cell>
          <cell r="W628" t="str">
            <v>GQS</v>
          </cell>
          <cell r="Z628">
            <v>2966970</v>
          </cell>
          <cell r="AB628" t="str">
            <v>PANEL</v>
          </cell>
        </row>
        <row r="629">
          <cell r="S629">
            <v>0</v>
          </cell>
          <cell r="T629">
            <v>0</v>
          </cell>
          <cell r="U629">
            <v>0</v>
          </cell>
          <cell r="W629" t="str">
            <v>GQS</v>
          </cell>
          <cell r="Z629">
            <v>0</v>
          </cell>
          <cell r="AB629" t="str">
            <v>TAPE</v>
          </cell>
        </row>
        <row r="630">
          <cell r="S630">
            <v>43061</v>
          </cell>
          <cell r="T630">
            <v>0</v>
          </cell>
          <cell r="U630">
            <v>299936</v>
          </cell>
          <cell r="W630" t="str">
            <v>GQS</v>
          </cell>
          <cell r="Z630">
            <v>342997</v>
          </cell>
          <cell r="AB630" t="str">
            <v>MAIN_UNIT</v>
          </cell>
        </row>
        <row r="631">
          <cell r="S631">
            <v>25837</v>
          </cell>
          <cell r="T631">
            <v>0</v>
          </cell>
          <cell r="U631">
            <v>0</v>
          </cell>
          <cell r="W631" t="str">
            <v>GQS</v>
          </cell>
          <cell r="Z631">
            <v>25837</v>
          </cell>
        </row>
        <row r="632">
          <cell r="S632">
            <v>25837</v>
          </cell>
          <cell r="T632">
            <v>0</v>
          </cell>
          <cell r="U632">
            <v>974850</v>
          </cell>
          <cell r="W632" t="str">
            <v>GQS</v>
          </cell>
          <cell r="Z632">
            <v>1000687</v>
          </cell>
          <cell r="AB632" t="str">
            <v>MAIN_UNIT</v>
          </cell>
        </row>
        <row r="633">
          <cell r="S633">
            <v>86122</v>
          </cell>
          <cell r="T633">
            <v>0</v>
          </cell>
          <cell r="U633">
            <v>969798</v>
          </cell>
          <cell r="W633" t="str">
            <v>GQS</v>
          </cell>
          <cell r="Z633">
            <v>1055920</v>
          </cell>
          <cell r="AB633" t="str">
            <v>PANEL</v>
          </cell>
        </row>
        <row r="634">
          <cell r="S634">
            <v>25837</v>
          </cell>
          <cell r="T634">
            <v>0</v>
          </cell>
          <cell r="U634">
            <v>1055402</v>
          </cell>
          <cell r="W634" t="str">
            <v>GQS</v>
          </cell>
          <cell r="Z634">
            <v>1081239</v>
          </cell>
          <cell r="AB634" t="str">
            <v>MAIN_UNIT</v>
          </cell>
        </row>
        <row r="635">
          <cell r="S635">
            <v>43061</v>
          </cell>
          <cell r="T635">
            <v>0</v>
          </cell>
          <cell r="U635">
            <v>0</v>
          </cell>
          <cell r="W635" t="str">
            <v>GQS</v>
          </cell>
          <cell r="Z635">
            <v>43061</v>
          </cell>
        </row>
        <row r="636">
          <cell r="S636">
            <v>43061</v>
          </cell>
          <cell r="T636">
            <v>0</v>
          </cell>
          <cell r="U636">
            <v>0</v>
          </cell>
          <cell r="W636" t="str">
            <v>GQS</v>
          </cell>
          <cell r="Z636">
            <v>43061</v>
          </cell>
        </row>
        <row r="637">
          <cell r="S637">
            <v>43061</v>
          </cell>
          <cell r="T637">
            <v>0</v>
          </cell>
          <cell r="U637">
            <v>969798</v>
          </cell>
          <cell r="W637" t="str">
            <v>GQS</v>
          </cell>
          <cell r="Z637">
            <v>1012859</v>
          </cell>
          <cell r="AB637" t="str">
            <v>PANEL</v>
          </cell>
        </row>
        <row r="638">
          <cell r="S638">
            <v>25837</v>
          </cell>
          <cell r="T638">
            <v>0</v>
          </cell>
          <cell r="U638">
            <v>0</v>
          </cell>
          <cell r="W638" t="str">
            <v>GQS</v>
          </cell>
          <cell r="Z638">
            <v>25837</v>
          </cell>
        </row>
        <row r="639">
          <cell r="S639">
            <v>43061</v>
          </cell>
          <cell r="T639">
            <v>0</v>
          </cell>
          <cell r="U639">
            <v>1373767</v>
          </cell>
          <cell r="W639" t="str">
            <v>GQS</v>
          </cell>
          <cell r="Z639">
            <v>1416828</v>
          </cell>
          <cell r="AB639" t="str">
            <v>PANEL</v>
          </cell>
        </row>
        <row r="640">
          <cell r="S640">
            <v>0</v>
          </cell>
          <cell r="T640">
            <v>0</v>
          </cell>
          <cell r="U640">
            <v>0</v>
          </cell>
          <cell r="W640" t="str">
            <v>GQS</v>
          </cell>
          <cell r="Z640">
            <v>0</v>
          </cell>
          <cell r="AB640" t="str">
            <v>TAPE</v>
          </cell>
        </row>
        <row r="641">
          <cell r="S641">
            <v>43061</v>
          </cell>
          <cell r="T641">
            <v>0</v>
          </cell>
          <cell r="U641">
            <v>639821</v>
          </cell>
          <cell r="W641" t="str">
            <v>GQS</v>
          </cell>
          <cell r="Z641">
            <v>682882</v>
          </cell>
          <cell r="AB641" t="str">
            <v>PANEL</v>
          </cell>
        </row>
        <row r="642">
          <cell r="S642">
            <v>43061</v>
          </cell>
          <cell r="T642">
            <v>0</v>
          </cell>
          <cell r="U642">
            <v>12469</v>
          </cell>
          <cell r="W642" t="str">
            <v>GQS</v>
          </cell>
          <cell r="Z642">
            <v>55530</v>
          </cell>
          <cell r="AB642" t="str">
            <v>REMOTE_CONTROL</v>
          </cell>
        </row>
        <row r="643">
          <cell r="S643">
            <v>25837</v>
          </cell>
          <cell r="T643">
            <v>0</v>
          </cell>
          <cell r="U643">
            <v>367125</v>
          </cell>
          <cell r="W643" t="str">
            <v>GQS</v>
          </cell>
          <cell r="Z643">
            <v>392962</v>
          </cell>
          <cell r="AB643" t="str">
            <v>PANEL</v>
          </cell>
        </row>
        <row r="644">
          <cell r="S644">
            <v>25837</v>
          </cell>
          <cell r="T644">
            <v>0</v>
          </cell>
          <cell r="U644">
            <v>0</v>
          </cell>
          <cell r="W644" t="str">
            <v>GQS</v>
          </cell>
          <cell r="Z644">
            <v>25837</v>
          </cell>
        </row>
        <row r="645">
          <cell r="S645">
            <v>25837</v>
          </cell>
          <cell r="T645">
            <v>0</v>
          </cell>
          <cell r="U645">
            <v>0</v>
          </cell>
          <cell r="W645" t="str">
            <v>GQS</v>
          </cell>
          <cell r="Z645">
            <v>25837</v>
          </cell>
        </row>
        <row r="646">
          <cell r="S646">
            <v>8612</v>
          </cell>
          <cell r="T646">
            <v>193200</v>
          </cell>
          <cell r="U646">
            <v>0</v>
          </cell>
          <cell r="W646" t="str">
            <v>GQS</v>
          </cell>
          <cell r="Z646">
            <v>201812</v>
          </cell>
        </row>
        <row r="647">
          <cell r="S647">
            <v>8612</v>
          </cell>
          <cell r="T647">
            <v>0</v>
          </cell>
          <cell r="U647">
            <v>0</v>
          </cell>
          <cell r="W647" t="str">
            <v>GQS</v>
          </cell>
          <cell r="Z647">
            <v>8612</v>
          </cell>
        </row>
        <row r="648">
          <cell r="S648">
            <v>25837</v>
          </cell>
          <cell r="T648">
            <v>140700</v>
          </cell>
          <cell r="U648">
            <v>811923</v>
          </cell>
          <cell r="W648" t="str">
            <v>GQS</v>
          </cell>
          <cell r="Z648">
            <v>978460</v>
          </cell>
          <cell r="AB648" t="str">
            <v>PANEL</v>
          </cell>
        </row>
        <row r="649">
          <cell r="S649">
            <v>8612</v>
          </cell>
          <cell r="T649">
            <v>0</v>
          </cell>
          <cell r="U649">
            <v>0</v>
          </cell>
          <cell r="W649" t="str">
            <v>GQS</v>
          </cell>
          <cell r="Z649">
            <v>8612</v>
          </cell>
        </row>
        <row r="650">
          <cell r="S650">
            <v>25837</v>
          </cell>
          <cell r="T650">
            <v>25200</v>
          </cell>
          <cell r="U650">
            <v>0</v>
          </cell>
          <cell r="W650" t="str">
            <v>GQS</v>
          </cell>
          <cell r="Z650">
            <v>51037</v>
          </cell>
        </row>
        <row r="651">
          <cell r="S651">
            <v>25837</v>
          </cell>
          <cell r="T651">
            <v>0</v>
          </cell>
          <cell r="U651">
            <v>0</v>
          </cell>
          <cell r="W651" t="str">
            <v>GQS</v>
          </cell>
          <cell r="Z651">
            <v>25837</v>
          </cell>
        </row>
        <row r="652">
          <cell r="S652">
            <v>43061</v>
          </cell>
          <cell r="T652">
            <v>0</v>
          </cell>
          <cell r="U652">
            <v>0</v>
          </cell>
          <cell r="W652" t="str">
            <v>GQS</v>
          </cell>
          <cell r="Z652">
            <v>43061</v>
          </cell>
        </row>
        <row r="653">
          <cell r="S653">
            <v>17224</v>
          </cell>
          <cell r="T653">
            <v>21000</v>
          </cell>
          <cell r="U653">
            <v>0</v>
          </cell>
          <cell r="W653" t="str">
            <v>GQS</v>
          </cell>
          <cell r="Z653">
            <v>38224</v>
          </cell>
        </row>
        <row r="654">
          <cell r="S654">
            <v>43061</v>
          </cell>
          <cell r="T654">
            <v>126000</v>
          </cell>
          <cell r="U654">
            <v>569380</v>
          </cell>
          <cell r="W654" t="str">
            <v>GQS</v>
          </cell>
          <cell r="Z654">
            <v>738441</v>
          </cell>
          <cell r="AB654" t="str">
            <v>PANEL</v>
          </cell>
        </row>
        <row r="655">
          <cell r="S655">
            <v>8612</v>
          </cell>
          <cell r="T655">
            <v>0</v>
          </cell>
          <cell r="U655">
            <v>0</v>
          </cell>
          <cell r="W655" t="str">
            <v>GQS</v>
          </cell>
          <cell r="Z655">
            <v>8612</v>
          </cell>
        </row>
        <row r="656">
          <cell r="S656">
            <v>86122</v>
          </cell>
          <cell r="T656">
            <v>18900</v>
          </cell>
          <cell r="U656">
            <v>943848</v>
          </cell>
          <cell r="W656" t="str">
            <v>GQS</v>
          </cell>
          <cell r="Z656">
            <v>1048870</v>
          </cell>
          <cell r="AB656" t="str">
            <v>PANEL</v>
          </cell>
        </row>
        <row r="657">
          <cell r="S657">
            <v>0</v>
          </cell>
          <cell r="T657">
            <v>0</v>
          </cell>
          <cell r="U657">
            <v>0</v>
          </cell>
          <cell r="W657" t="str">
            <v>GQS</v>
          </cell>
          <cell r="Z657">
            <v>0</v>
          </cell>
          <cell r="AB657" t="str">
            <v>TAPE</v>
          </cell>
        </row>
        <row r="658">
          <cell r="S658">
            <v>0</v>
          </cell>
          <cell r="T658">
            <v>0</v>
          </cell>
          <cell r="U658">
            <v>0</v>
          </cell>
          <cell r="W658" t="str">
            <v>GQS</v>
          </cell>
          <cell r="Z658">
            <v>0</v>
          </cell>
          <cell r="AB658" t="str">
            <v>MAIN_UNIT</v>
          </cell>
        </row>
        <row r="659">
          <cell r="S659">
            <v>86122</v>
          </cell>
          <cell r="T659">
            <v>210000</v>
          </cell>
          <cell r="U659">
            <v>819992</v>
          </cell>
          <cell r="W659" t="str">
            <v>GQS</v>
          </cell>
          <cell r="Z659">
            <v>1116114</v>
          </cell>
          <cell r="AB659" t="str">
            <v>PANEL</v>
          </cell>
        </row>
        <row r="660">
          <cell r="S660">
            <v>25837</v>
          </cell>
          <cell r="T660">
            <v>12600</v>
          </cell>
          <cell r="U660">
            <v>1373768</v>
          </cell>
          <cell r="W660" t="str">
            <v>GQS</v>
          </cell>
          <cell r="Z660">
            <v>1412205</v>
          </cell>
          <cell r="AB660" t="str">
            <v>PANEL</v>
          </cell>
        </row>
        <row r="661">
          <cell r="S661">
            <v>86122</v>
          </cell>
          <cell r="T661">
            <v>126000</v>
          </cell>
          <cell r="U661">
            <v>691906</v>
          </cell>
          <cell r="W661" t="str">
            <v>GQS</v>
          </cell>
          <cell r="Z661">
            <v>904028</v>
          </cell>
          <cell r="AB661" t="str">
            <v>MAIN_UNIT</v>
          </cell>
        </row>
        <row r="662">
          <cell r="S662">
            <v>17224</v>
          </cell>
          <cell r="T662">
            <v>21000</v>
          </cell>
          <cell r="U662">
            <v>0</v>
          </cell>
          <cell r="W662" t="str">
            <v>GQS</v>
          </cell>
          <cell r="Z662">
            <v>38224</v>
          </cell>
        </row>
        <row r="663">
          <cell r="S663">
            <v>86122</v>
          </cell>
          <cell r="T663">
            <v>18900</v>
          </cell>
          <cell r="U663">
            <v>2412098</v>
          </cell>
          <cell r="W663" t="str">
            <v>GQS</v>
          </cell>
          <cell r="Z663">
            <v>2517120</v>
          </cell>
          <cell r="AB663" t="str">
            <v>PANEL</v>
          </cell>
        </row>
        <row r="664">
          <cell r="S664">
            <v>0</v>
          </cell>
          <cell r="T664">
            <v>0</v>
          </cell>
          <cell r="U664">
            <v>0</v>
          </cell>
          <cell r="W664" t="str">
            <v>GQS</v>
          </cell>
          <cell r="Z664">
            <v>0</v>
          </cell>
          <cell r="AB664" t="str">
            <v>TCON_UNIT</v>
          </cell>
        </row>
        <row r="665">
          <cell r="S665">
            <v>0</v>
          </cell>
          <cell r="T665">
            <v>0</v>
          </cell>
          <cell r="U665">
            <v>0</v>
          </cell>
          <cell r="W665" t="str">
            <v>GQS</v>
          </cell>
          <cell r="Z665">
            <v>0</v>
          </cell>
          <cell r="AB665" t="str">
            <v>MAIN_UNIT</v>
          </cell>
        </row>
        <row r="666">
          <cell r="S666">
            <v>43061</v>
          </cell>
          <cell r="T666">
            <v>21000</v>
          </cell>
          <cell r="U666">
            <v>2007540</v>
          </cell>
          <cell r="W666" t="str">
            <v>GQS</v>
          </cell>
          <cell r="Z666">
            <v>2071601</v>
          </cell>
          <cell r="AB666" t="str">
            <v>PANEL</v>
          </cell>
        </row>
        <row r="667">
          <cell r="S667">
            <v>0</v>
          </cell>
          <cell r="T667">
            <v>0</v>
          </cell>
          <cell r="U667">
            <v>0</v>
          </cell>
          <cell r="W667" t="str">
            <v>GQS</v>
          </cell>
          <cell r="Z667">
            <v>0</v>
          </cell>
          <cell r="AB667" t="str">
            <v>PART_KIT</v>
          </cell>
        </row>
        <row r="668">
          <cell r="S668">
            <v>0</v>
          </cell>
          <cell r="T668">
            <v>0</v>
          </cell>
          <cell r="U668">
            <v>0</v>
          </cell>
          <cell r="W668" t="str">
            <v>GQS</v>
          </cell>
          <cell r="Z668">
            <v>0</v>
          </cell>
          <cell r="AB668" t="str">
            <v>LVDS_WIRE</v>
          </cell>
        </row>
        <row r="669">
          <cell r="S669">
            <v>43061</v>
          </cell>
          <cell r="T669">
            <v>0</v>
          </cell>
          <cell r="U669">
            <v>0</v>
          </cell>
          <cell r="W669" t="str">
            <v>GQS</v>
          </cell>
          <cell r="Z669">
            <v>43061</v>
          </cell>
        </row>
        <row r="670">
          <cell r="S670">
            <v>86122</v>
          </cell>
          <cell r="T670">
            <v>42000</v>
          </cell>
          <cell r="U670">
            <v>522997</v>
          </cell>
          <cell r="W670" t="str">
            <v>GQS</v>
          </cell>
          <cell r="Z670">
            <v>651119</v>
          </cell>
          <cell r="AB670" t="str">
            <v>PANEL</v>
          </cell>
        </row>
        <row r="671">
          <cell r="S671">
            <v>43061</v>
          </cell>
          <cell r="T671">
            <v>52500</v>
          </cell>
          <cell r="U671">
            <v>691905</v>
          </cell>
          <cell r="W671" t="str">
            <v>GQS</v>
          </cell>
          <cell r="Z671">
            <v>787466</v>
          </cell>
          <cell r="AB671" t="str">
            <v>MAIN_UNIT</v>
          </cell>
        </row>
        <row r="672">
          <cell r="S672">
            <v>25837</v>
          </cell>
          <cell r="T672">
            <v>163800</v>
          </cell>
          <cell r="U672">
            <v>635319</v>
          </cell>
          <cell r="W672" t="str">
            <v>GQS</v>
          </cell>
          <cell r="Z672">
            <v>824956</v>
          </cell>
          <cell r="AB672" t="str">
            <v>MAIN_UNIT</v>
          </cell>
        </row>
        <row r="673">
          <cell r="S673">
            <v>8612</v>
          </cell>
          <cell r="T673">
            <v>12600</v>
          </cell>
          <cell r="U673">
            <v>0</v>
          </cell>
          <cell r="W673" t="str">
            <v>GQS</v>
          </cell>
          <cell r="Z673">
            <v>21212</v>
          </cell>
        </row>
        <row r="674">
          <cell r="S674">
            <v>8612</v>
          </cell>
          <cell r="T674">
            <v>4200</v>
          </cell>
          <cell r="U674">
            <v>0</v>
          </cell>
          <cell r="W674" t="str">
            <v>GQS</v>
          </cell>
          <cell r="Z674">
            <v>12812</v>
          </cell>
        </row>
        <row r="675">
          <cell r="S675">
            <v>0</v>
          </cell>
          <cell r="T675">
            <v>0</v>
          </cell>
          <cell r="U675">
            <v>0</v>
          </cell>
          <cell r="W675" t="str">
            <v>GQS</v>
          </cell>
          <cell r="Z675">
            <v>0</v>
          </cell>
          <cell r="AB675" t="str">
            <v>TAPE</v>
          </cell>
        </row>
        <row r="676">
          <cell r="S676">
            <v>86122</v>
          </cell>
          <cell r="T676">
            <v>31500</v>
          </cell>
          <cell r="U676">
            <v>135751</v>
          </cell>
          <cell r="W676" t="str">
            <v>GQS</v>
          </cell>
          <cell r="Z676">
            <v>253373</v>
          </cell>
          <cell r="AB676" t="str">
            <v>PANEL</v>
          </cell>
        </row>
        <row r="677">
          <cell r="S677">
            <v>17224</v>
          </cell>
          <cell r="T677">
            <v>140700</v>
          </cell>
          <cell r="U677">
            <v>102457</v>
          </cell>
          <cell r="W677" t="str">
            <v>GQS</v>
          </cell>
          <cell r="Z677">
            <v>260381</v>
          </cell>
          <cell r="AB677" t="str">
            <v>REMOTE_CONTROL</v>
          </cell>
        </row>
        <row r="678">
          <cell r="S678">
            <v>25837</v>
          </cell>
          <cell r="T678">
            <v>6300</v>
          </cell>
          <cell r="U678">
            <v>107745</v>
          </cell>
          <cell r="W678" t="str">
            <v>GQS</v>
          </cell>
          <cell r="Z678">
            <v>139882</v>
          </cell>
          <cell r="AB678" t="str">
            <v>MAIN_UNIT</v>
          </cell>
        </row>
        <row r="679">
          <cell r="S679">
            <v>43061</v>
          </cell>
          <cell r="T679">
            <v>159600</v>
          </cell>
          <cell r="U679">
            <v>610637</v>
          </cell>
          <cell r="W679" t="str">
            <v>GQS</v>
          </cell>
          <cell r="Z679">
            <v>813298</v>
          </cell>
          <cell r="AB679" t="str">
            <v>MAIN_UNIT</v>
          </cell>
        </row>
        <row r="680">
          <cell r="S680">
            <v>43061</v>
          </cell>
          <cell r="T680">
            <v>84000</v>
          </cell>
          <cell r="U680">
            <v>602572</v>
          </cell>
          <cell r="W680" t="str">
            <v>GQS</v>
          </cell>
          <cell r="Z680">
            <v>729633</v>
          </cell>
          <cell r="AB680" t="str">
            <v>MAIN_UNIT</v>
          </cell>
        </row>
        <row r="681">
          <cell r="S681">
            <v>17224</v>
          </cell>
          <cell r="T681">
            <v>0</v>
          </cell>
          <cell r="U681">
            <v>0</v>
          </cell>
          <cell r="W681" t="str">
            <v>GQS</v>
          </cell>
          <cell r="Z681">
            <v>17224</v>
          </cell>
        </row>
        <row r="682">
          <cell r="S682">
            <v>43061</v>
          </cell>
          <cell r="T682">
            <v>0</v>
          </cell>
          <cell r="U682">
            <v>0</v>
          </cell>
          <cell r="W682" t="str">
            <v>GQS</v>
          </cell>
          <cell r="Z682">
            <v>43061</v>
          </cell>
        </row>
        <row r="683">
          <cell r="S683">
            <v>86122</v>
          </cell>
          <cell r="T683">
            <v>18900</v>
          </cell>
          <cell r="U683">
            <v>691906</v>
          </cell>
          <cell r="W683" t="str">
            <v>GQS</v>
          </cell>
          <cell r="Z683">
            <v>796928</v>
          </cell>
          <cell r="AB683" t="str">
            <v>MAIN_UNIT</v>
          </cell>
        </row>
        <row r="684">
          <cell r="S684">
            <v>86122</v>
          </cell>
          <cell r="T684">
            <v>33600</v>
          </cell>
          <cell r="U684">
            <v>288296</v>
          </cell>
          <cell r="W684" t="str">
            <v>GQS</v>
          </cell>
          <cell r="Z684">
            <v>408018</v>
          </cell>
          <cell r="AB684" t="str">
            <v>LED_BAR</v>
          </cell>
        </row>
        <row r="685">
          <cell r="S685">
            <v>17224</v>
          </cell>
          <cell r="T685">
            <v>147000</v>
          </cell>
          <cell r="U685">
            <v>56017.999999999993</v>
          </cell>
          <cell r="W685" t="str">
            <v>GQS</v>
          </cell>
          <cell r="Z685">
            <v>220242</v>
          </cell>
          <cell r="AB685" t="str">
            <v>REMOTE_CONTROL</v>
          </cell>
        </row>
        <row r="686">
          <cell r="S686">
            <v>25837</v>
          </cell>
          <cell r="T686">
            <v>14700</v>
          </cell>
          <cell r="U686">
            <v>5356</v>
          </cell>
          <cell r="W686" t="str">
            <v>GQS</v>
          </cell>
          <cell r="Z686">
            <v>45893</v>
          </cell>
          <cell r="AB686" t="str">
            <v>LED_IR_UNIT</v>
          </cell>
        </row>
        <row r="687">
          <cell r="S687">
            <v>34449</v>
          </cell>
          <cell r="T687">
            <v>21000</v>
          </cell>
          <cell r="U687">
            <v>0</v>
          </cell>
          <cell r="W687" t="str">
            <v>GQS</v>
          </cell>
          <cell r="Z687">
            <v>55449</v>
          </cell>
        </row>
        <row r="688">
          <cell r="S688">
            <v>43061</v>
          </cell>
          <cell r="T688">
            <v>58800</v>
          </cell>
          <cell r="U688">
            <v>691905</v>
          </cell>
          <cell r="W688" t="str">
            <v>GQS</v>
          </cell>
          <cell r="Z688">
            <v>793766</v>
          </cell>
          <cell r="AB688" t="str">
            <v>MAIN_UNIT</v>
          </cell>
        </row>
        <row r="689">
          <cell r="S689">
            <v>0</v>
          </cell>
          <cell r="T689">
            <v>0</v>
          </cell>
          <cell r="U689">
            <v>0</v>
          </cell>
          <cell r="W689" t="str">
            <v>GQS</v>
          </cell>
          <cell r="Z689">
            <v>0</v>
          </cell>
          <cell r="AB689" t="str">
            <v>TAPE</v>
          </cell>
        </row>
        <row r="690">
          <cell r="S690">
            <v>43061</v>
          </cell>
          <cell r="T690">
            <v>27300</v>
          </cell>
          <cell r="U690">
            <v>639820</v>
          </cell>
          <cell r="W690" t="str">
            <v>GQS</v>
          </cell>
          <cell r="Z690">
            <v>710181</v>
          </cell>
          <cell r="AB690" t="str">
            <v>PANEL</v>
          </cell>
        </row>
        <row r="691">
          <cell r="S691">
            <v>51673</v>
          </cell>
          <cell r="T691">
            <v>39900</v>
          </cell>
          <cell r="U691">
            <v>113226</v>
          </cell>
          <cell r="W691" t="str">
            <v>GQS</v>
          </cell>
          <cell r="Z691">
            <v>204799</v>
          </cell>
          <cell r="AB691" t="str">
            <v>MAIN_UNIT</v>
          </cell>
        </row>
        <row r="692">
          <cell r="S692">
            <v>86122</v>
          </cell>
          <cell r="T692">
            <v>126000</v>
          </cell>
          <cell r="U692">
            <v>541024</v>
          </cell>
          <cell r="W692" t="str">
            <v>GQS</v>
          </cell>
          <cell r="Z692">
            <v>753146</v>
          </cell>
          <cell r="AB692" t="str">
            <v>MAIN_UNIT</v>
          </cell>
        </row>
        <row r="693">
          <cell r="S693">
            <v>8612</v>
          </cell>
          <cell r="T693">
            <v>0</v>
          </cell>
          <cell r="U693">
            <v>0</v>
          </cell>
          <cell r="W693" t="str">
            <v>GQS</v>
          </cell>
          <cell r="Z693">
            <v>8612</v>
          </cell>
        </row>
        <row r="694">
          <cell r="S694">
            <v>43061</v>
          </cell>
          <cell r="T694">
            <v>21000</v>
          </cell>
          <cell r="U694">
            <v>204082</v>
          </cell>
          <cell r="W694" t="str">
            <v>GQS</v>
          </cell>
          <cell r="Z694">
            <v>268143</v>
          </cell>
          <cell r="AB694" t="str">
            <v>MAIN_UNIT</v>
          </cell>
        </row>
        <row r="695">
          <cell r="S695">
            <v>34449</v>
          </cell>
          <cell r="T695">
            <v>37800</v>
          </cell>
          <cell r="U695">
            <v>10409</v>
          </cell>
          <cell r="W695" t="str">
            <v>GQS</v>
          </cell>
          <cell r="Z695">
            <v>82658</v>
          </cell>
          <cell r="AB695" t="str">
            <v>REMOTE_CONTROL</v>
          </cell>
        </row>
        <row r="696">
          <cell r="S696">
            <v>25837</v>
          </cell>
          <cell r="T696">
            <v>33600</v>
          </cell>
          <cell r="U696">
            <v>316600</v>
          </cell>
          <cell r="W696" t="str">
            <v>GQS</v>
          </cell>
          <cell r="Z696">
            <v>376037</v>
          </cell>
          <cell r="AB696" t="str">
            <v>MAIN_UNIT</v>
          </cell>
        </row>
        <row r="697">
          <cell r="S697">
            <v>43061</v>
          </cell>
          <cell r="T697">
            <v>31500</v>
          </cell>
          <cell r="U697">
            <v>640839</v>
          </cell>
          <cell r="W697" t="str">
            <v>GQS</v>
          </cell>
          <cell r="Z697">
            <v>715400</v>
          </cell>
          <cell r="AB697" t="str">
            <v>PANEL</v>
          </cell>
        </row>
        <row r="698">
          <cell r="S698">
            <v>0</v>
          </cell>
          <cell r="T698">
            <v>0</v>
          </cell>
          <cell r="U698">
            <v>0</v>
          </cell>
          <cell r="W698" t="str">
            <v>GQS</v>
          </cell>
          <cell r="Z698">
            <v>0</v>
          </cell>
          <cell r="AB698" t="str">
            <v>TAPE</v>
          </cell>
        </row>
        <row r="699">
          <cell r="S699">
            <v>43061</v>
          </cell>
          <cell r="T699">
            <v>42000</v>
          </cell>
          <cell r="U699">
            <v>145348</v>
          </cell>
          <cell r="W699" t="str">
            <v>GQS</v>
          </cell>
          <cell r="Z699">
            <v>230409</v>
          </cell>
          <cell r="AB699" t="str">
            <v>POWER_UNIT</v>
          </cell>
        </row>
        <row r="700">
          <cell r="S700">
            <v>51673</v>
          </cell>
          <cell r="T700">
            <v>37800</v>
          </cell>
          <cell r="U700">
            <v>617875</v>
          </cell>
          <cell r="W700" t="str">
            <v>GQS</v>
          </cell>
          <cell r="Z700">
            <v>707348</v>
          </cell>
          <cell r="AB700" t="str">
            <v>PANEL</v>
          </cell>
        </row>
        <row r="701">
          <cell r="S701">
            <v>0</v>
          </cell>
          <cell r="T701">
            <v>0</v>
          </cell>
          <cell r="U701">
            <v>0</v>
          </cell>
          <cell r="W701" t="str">
            <v>GQS</v>
          </cell>
          <cell r="Z701">
            <v>0</v>
          </cell>
          <cell r="AB701" t="str">
            <v>TAPE</v>
          </cell>
        </row>
        <row r="702">
          <cell r="S702">
            <v>8612</v>
          </cell>
          <cell r="T702">
            <v>0</v>
          </cell>
          <cell r="U702">
            <v>0</v>
          </cell>
          <cell r="W702" t="str">
            <v>GQS</v>
          </cell>
          <cell r="Z702">
            <v>8612</v>
          </cell>
        </row>
        <row r="703">
          <cell r="S703">
            <v>17224</v>
          </cell>
          <cell r="T703">
            <v>0</v>
          </cell>
          <cell r="U703">
            <v>0</v>
          </cell>
          <cell r="W703" t="str">
            <v>GQS</v>
          </cell>
          <cell r="Z703">
            <v>17224</v>
          </cell>
        </row>
        <row r="704">
          <cell r="S704">
            <v>17224</v>
          </cell>
          <cell r="T704">
            <v>0</v>
          </cell>
          <cell r="U704">
            <v>0</v>
          </cell>
          <cell r="W704" t="str">
            <v>GQS</v>
          </cell>
          <cell r="Z704">
            <v>17224</v>
          </cell>
        </row>
        <row r="705">
          <cell r="S705">
            <v>43061</v>
          </cell>
          <cell r="T705">
            <v>52500</v>
          </cell>
          <cell r="U705">
            <v>297603</v>
          </cell>
          <cell r="W705" t="str">
            <v>GQS</v>
          </cell>
          <cell r="Z705">
            <v>393164</v>
          </cell>
          <cell r="AB705" t="str">
            <v>MAIN_UNIT</v>
          </cell>
        </row>
        <row r="706">
          <cell r="S706">
            <v>0</v>
          </cell>
          <cell r="T706">
            <v>0</v>
          </cell>
          <cell r="U706">
            <v>0</v>
          </cell>
          <cell r="W706" t="str">
            <v>GQS</v>
          </cell>
          <cell r="Z706">
            <v>0</v>
          </cell>
          <cell r="AB706" t="str">
            <v>TAPE</v>
          </cell>
        </row>
        <row r="707">
          <cell r="S707">
            <v>51673</v>
          </cell>
          <cell r="T707">
            <v>42000</v>
          </cell>
          <cell r="U707">
            <v>617875</v>
          </cell>
          <cell r="W707" t="str">
            <v>GQS</v>
          </cell>
          <cell r="Z707">
            <v>711548</v>
          </cell>
          <cell r="AB707" t="str">
            <v>PANEL</v>
          </cell>
        </row>
        <row r="708">
          <cell r="S708">
            <v>51673</v>
          </cell>
          <cell r="T708">
            <v>42000</v>
          </cell>
          <cell r="U708">
            <v>690391</v>
          </cell>
          <cell r="W708" t="str">
            <v>GQS</v>
          </cell>
          <cell r="Z708">
            <v>784064</v>
          </cell>
          <cell r="AB708" t="str">
            <v>MAIN_UNIT</v>
          </cell>
        </row>
        <row r="709">
          <cell r="S709">
            <v>0</v>
          </cell>
          <cell r="T709">
            <v>0</v>
          </cell>
          <cell r="U709">
            <v>0</v>
          </cell>
          <cell r="W709" t="str">
            <v>GQS</v>
          </cell>
          <cell r="Z709">
            <v>0</v>
          </cell>
          <cell r="AB709" t="str">
            <v>POWER_UNIT</v>
          </cell>
        </row>
        <row r="710">
          <cell r="S710">
            <v>0</v>
          </cell>
          <cell r="T710">
            <v>0</v>
          </cell>
          <cell r="U710">
            <v>0</v>
          </cell>
          <cell r="W710" t="str">
            <v>GQS</v>
          </cell>
          <cell r="Z710">
            <v>0</v>
          </cell>
          <cell r="AB710" t="str">
            <v>TAPE</v>
          </cell>
        </row>
        <row r="711">
          <cell r="S711">
            <v>43061</v>
          </cell>
          <cell r="T711">
            <v>37800</v>
          </cell>
          <cell r="U711">
            <v>617875</v>
          </cell>
          <cell r="W711" t="str">
            <v>GQS</v>
          </cell>
          <cell r="Z711">
            <v>698736</v>
          </cell>
          <cell r="AB711" t="str">
            <v>PANEL</v>
          </cell>
        </row>
        <row r="712">
          <cell r="S712">
            <v>43061</v>
          </cell>
          <cell r="T712">
            <v>42000</v>
          </cell>
          <cell r="U712">
            <v>522997</v>
          </cell>
          <cell r="W712" t="str">
            <v>GQS</v>
          </cell>
          <cell r="Z712">
            <v>608058</v>
          </cell>
          <cell r="AB712" t="str">
            <v>PANEL</v>
          </cell>
        </row>
        <row r="713">
          <cell r="S713">
            <v>25837</v>
          </cell>
          <cell r="T713">
            <v>21000</v>
          </cell>
          <cell r="U713">
            <v>0</v>
          </cell>
          <cell r="W713" t="str">
            <v>GQS</v>
          </cell>
          <cell r="Z713">
            <v>46837</v>
          </cell>
        </row>
        <row r="714">
          <cell r="S714">
            <v>8612</v>
          </cell>
          <cell r="T714">
            <v>0</v>
          </cell>
          <cell r="U714">
            <v>0</v>
          </cell>
          <cell r="W714" t="str">
            <v>GQS</v>
          </cell>
          <cell r="Z714">
            <v>8612</v>
          </cell>
        </row>
        <row r="715">
          <cell r="S715">
            <v>43061</v>
          </cell>
          <cell r="T715">
            <v>10500</v>
          </cell>
          <cell r="U715">
            <v>0</v>
          </cell>
          <cell r="W715" t="str">
            <v>GQS</v>
          </cell>
          <cell r="Z715">
            <v>53561</v>
          </cell>
        </row>
        <row r="716">
          <cell r="S716">
            <v>86122</v>
          </cell>
          <cell r="T716">
            <v>21000</v>
          </cell>
          <cell r="U716">
            <v>311150</v>
          </cell>
          <cell r="W716" t="str">
            <v>GQS</v>
          </cell>
          <cell r="Z716">
            <v>418272</v>
          </cell>
          <cell r="AB716" t="str">
            <v>POWER_UNIT</v>
          </cell>
        </row>
        <row r="717">
          <cell r="S717">
            <v>0</v>
          </cell>
          <cell r="T717">
            <v>0</v>
          </cell>
          <cell r="U717">
            <v>0</v>
          </cell>
          <cell r="W717" t="str">
            <v>GQS</v>
          </cell>
          <cell r="Z717">
            <v>0</v>
          </cell>
          <cell r="AB717" t="str">
            <v>MAIN_UNIT</v>
          </cell>
        </row>
        <row r="718">
          <cell r="S718">
            <v>86122</v>
          </cell>
          <cell r="T718">
            <v>21000</v>
          </cell>
          <cell r="U718">
            <v>939754.99999999988</v>
          </cell>
          <cell r="W718" t="str">
            <v>GQS</v>
          </cell>
          <cell r="Z718">
            <v>1046877</v>
          </cell>
          <cell r="AB718" t="str">
            <v>PANEL</v>
          </cell>
        </row>
        <row r="719">
          <cell r="S719">
            <v>0</v>
          </cell>
          <cell r="T719">
            <v>0</v>
          </cell>
          <cell r="U719">
            <v>0</v>
          </cell>
          <cell r="W719" t="str">
            <v>GQS</v>
          </cell>
          <cell r="Z719">
            <v>0</v>
          </cell>
          <cell r="AB719" t="str">
            <v>TAPE</v>
          </cell>
        </row>
        <row r="720">
          <cell r="S720">
            <v>8612</v>
          </cell>
          <cell r="T720">
            <v>0</v>
          </cell>
          <cell r="U720">
            <v>0</v>
          </cell>
          <cell r="W720" t="str">
            <v>GQS</v>
          </cell>
          <cell r="Z720">
            <v>8612</v>
          </cell>
        </row>
        <row r="721">
          <cell r="S721">
            <v>86122</v>
          </cell>
          <cell r="T721">
            <v>21000</v>
          </cell>
          <cell r="U721">
            <v>316600</v>
          </cell>
          <cell r="W721" t="str">
            <v>GQS</v>
          </cell>
          <cell r="Z721">
            <v>423722</v>
          </cell>
          <cell r="AB721" t="str">
            <v>MAIN_UNIT</v>
          </cell>
        </row>
        <row r="722">
          <cell r="S722">
            <v>86122</v>
          </cell>
          <cell r="T722">
            <v>52500</v>
          </cell>
          <cell r="U722">
            <v>670638</v>
          </cell>
          <cell r="W722" t="str">
            <v>GQS</v>
          </cell>
          <cell r="Z722">
            <v>809260</v>
          </cell>
          <cell r="AB722" t="str">
            <v>MAIN_UNIT</v>
          </cell>
        </row>
        <row r="723">
          <cell r="S723">
            <v>0</v>
          </cell>
          <cell r="T723">
            <v>0</v>
          </cell>
          <cell r="U723">
            <v>0</v>
          </cell>
          <cell r="W723" t="str">
            <v>GQS</v>
          </cell>
          <cell r="Z723">
            <v>0</v>
          </cell>
          <cell r="AB723" t="str">
            <v>LED_BAR</v>
          </cell>
        </row>
        <row r="724">
          <cell r="S724">
            <v>43061</v>
          </cell>
          <cell r="T724">
            <v>10500</v>
          </cell>
          <cell r="U724">
            <v>0</v>
          </cell>
          <cell r="W724" t="str">
            <v>GQS</v>
          </cell>
          <cell r="Z724">
            <v>53561</v>
          </cell>
        </row>
        <row r="725">
          <cell r="S725">
            <v>25837</v>
          </cell>
          <cell r="T725">
            <v>8400</v>
          </cell>
          <cell r="U725">
            <v>12469</v>
          </cell>
          <cell r="W725" t="str">
            <v>GQS</v>
          </cell>
          <cell r="Z725">
            <v>46706</v>
          </cell>
          <cell r="AB725" t="str">
            <v>REMOTE_CONTROL</v>
          </cell>
        </row>
        <row r="726">
          <cell r="S726">
            <v>43061</v>
          </cell>
          <cell r="T726">
            <v>21000</v>
          </cell>
          <cell r="U726">
            <v>1379241</v>
          </cell>
          <cell r="W726" t="str">
            <v>GQS</v>
          </cell>
          <cell r="Z726">
            <v>1443302</v>
          </cell>
          <cell r="AB726" t="str">
            <v>PANEL</v>
          </cell>
        </row>
        <row r="727">
          <cell r="S727">
            <v>0</v>
          </cell>
          <cell r="T727">
            <v>0</v>
          </cell>
          <cell r="U727">
            <v>0</v>
          </cell>
          <cell r="W727" t="str">
            <v>GQS</v>
          </cell>
          <cell r="Z727">
            <v>0</v>
          </cell>
          <cell r="AB727" t="str">
            <v>MAIN_UNIT</v>
          </cell>
        </row>
        <row r="728">
          <cell r="S728">
            <v>43061</v>
          </cell>
          <cell r="T728">
            <v>42000</v>
          </cell>
          <cell r="U728">
            <v>569380</v>
          </cell>
          <cell r="W728" t="str">
            <v>GQS</v>
          </cell>
          <cell r="Z728">
            <v>654441</v>
          </cell>
          <cell r="AB728" t="str">
            <v>PANEL</v>
          </cell>
        </row>
        <row r="729">
          <cell r="S729">
            <v>43061</v>
          </cell>
          <cell r="T729">
            <v>84000</v>
          </cell>
          <cell r="U729">
            <v>12469</v>
          </cell>
          <cell r="W729" t="str">
            <v>GQS</v>
          </cell>
          <cell r="Z729">
            <v>139530</v>
          </cell>
          <cell r="AB729" t="str">
            <v>REMOTE_CONTROL</v>
          </cell>
        </row>
        <row r="730">
          <cell r="S730">
            <v>43061</v>
          </cell>
          <cell r="T730">
            <v>168000</v>
          </cell>
          <cell r="U730">
            <v>1053784</v>
          </cell>
          <cell r="W730" t="str">
            <v>GQS</v>
          </cell>
          <cell r="Z730">
            <v>1264845</v>
          </cell>
          <cell r="AB730" t="str">
            <v>MAIN_UNIT</v>
          </cell>
        </row>
        <row r="731">
          <cell r="S731">
            <v>43061</v>
          </cell>
          <cell r="T731">
            <v>21000</v>
          </cell>
          <cell r="U731">
            <v>1133923</v>
          </cell>
          <cell r="W731" t="str">
            <v>GQS</v>
          </cell>
          <cell r="Z731">
            <v>1197984</v>
          </cell>
          <cell r="AB731" t="str">
            <v>PANEL</v>
          </cell>
        </row>
        <row r="732">
          <cell r="S732">
            <v>0</v>
          </cell>
          <cell r="T732">
            <v>0</v>
          </cell>
          <cell r="U732">
            <v>0</v>
          </cell>
          <cell r="W732" t="str">
            <v>GQS</v>
          </cell>
          <cell r="Z732">
            <v>0</v>
          </cell>
          <cell r="AB732" t="str">
            <v>TAPE</v>
          </cell>
        </row>
        <row r="733">
          <cell r="S733">
            <v>51673</v>
          </cell>
          <cell r="T733">
            <v>71400</v>
          </cell>
          <cell r="U733">
            <v>120105</v>
          </cell>
          <cell r="W733" t="str">
            <v>GQS</v>
          </cell>
          <cell r="Z733">
            <v>243178</v>
          </cell>
          <cell r="AB733" t="str">
            <v>MAIN_UNIT</v>
          </cell>
        </row>
        <row r="734">
          <cell r="S734">
            <v>25837</v>
          </cell>
          <cell r="T734">
            <v>37800</v>
          </cell>
          <cell r="U734">
            <v>48926</v>
          </cell>
          <cell r="W734" t="str">
            <v>GQS</v>
          </cell>
          <cell r="Z734">
            <v>112563</v>
          </cell>
          <cell r="AB734" t="str">
            <v>POWER_UNIT</v>
          </cell>
        </row>
        <row r="735">
          <cell r="S735">
            <v>8612</v>
          </cell>
          <cell r="T735">
            <v>123900</v>
          </cell>
          <cell r="U735">
            <v>0</v>
          </cell>
          <cell r="W735" t="str">
            <v>GQS</v>
          </cell>
          <cell r="Z735">
            <v>132512</v>
          </cell>
        </row>
        <row r="736">
          <cell r="S736">
            <v>17224</v>
          </cell>
          <cell r="T736">
            <v>21000</v>
          </cell>
          <cell r="U736">
            <v>0</v>
          </cell>
          <cell r="W736" t="str">
            <v>GQS</v>
          </cell>
          <cell r="Z736">
            <v>38224</v>
          </cell>
        </row>
        <row r="737">
          <cell r="S737">
            <v>25837</v>
          </cell>
          <cell r="T737">
            <v>42000</v>
          </cell>
          <cell r="U737">
            <v>0</v>
          </cell>
          <cell r="W737" t="str">
            <v>GQS</v>
          </cell>
          <cell r="Z737">
            <v>67837</v>
          </cell>
        </row>
        <row r="738">
          <cell r="S738">
            <v>17224</v>
          </cell>
          <cell r="T738">
            <v>50400</v>
          </cell>
          <cell r="U738">
            <v>972376</v>
          </cell>
          <cell r="W738" t="str">
            <v>GQS</v>
          </cell>
          <cell r="Z738">
            <v>1040000</v>
          </cell>
          <cell r="AB738" t="str">
            <v>MAIN_UNIT</v>
          </cell>
        </row>
        <row r="739">
          <cell r="S739">
            <v>43061</v>
          </cell>
          <cell r="T739">
            <v>73500</v>
          </cell>
          <cell r="U739">
            <v>100000</v>
          </cell>
          <cell r="W739" t="str">
            <v>GQS</v>
          </cell>
          <cell r="Z739">
            <v>216561</v>
          </cell>
          <cell r="AB739" t="str">
            <v>LED_BAR</v>
          </cell>
        </row>
        <row r="740">
          <cell r="S740">
            <v>0</v>
          </cell>
          <cell r="T740">
            <v>0</v>
          </cell>
          <cell r="U740">
            <v>0</v>
          </cell>
          <cell r="W740" t="str">
            <v>GQS</v>
          </cell>
          <cell r="Z740">
            <v>0</v>
          </cell>
          <cell r="AB740" t="str">
            <v>TAPE</v>
          </cell>
        </row>
        <row r="741">
          <cell r="S741">
            <v>43061</v>
          </cell>
          <cell r="T741">
            <v>52500</v>
          </cell>
          <cell r="U741">
            <v>639820</v>
          </cell>
          <cell r="W741" t="str">
            <v>GQS</v>
          </cell>
          <cell r="Z741">
            <v>735381</v>
          </cell>
          <cell r="AB741" t="str">
            <v>PANEL</v>
          </cell>
        </row>
        <row r="742">
          <cell r="S742">
            <v>43061</v>
          </cell>
          <cell r="T742">
            <v>0</v>
          </cell>
          <cell r="U742">
            <v>0</v>
          </cell>
          <cell r="W742" t="str">
            <v>GQS</v>
          </cell>
          <cell r="Z742">
            <v>43061</v>
          </cell>
        </row>
        <row r="743">
          <cell r="S743">
            <v>43061</v>
          </cell>
          <cell r="T743">
            <v>16800</v>
          </cell>
          <cell r="U743">
            <v>107744</v>
          </cell>
          <cell r="W743" t="str">
            <v>GQS</v>
          </cell>
          <cell r="Z743">
            <v>167605</v>
          </cell>
          <cell r="AB743" t="str">
            <v>MAIN_UNIT</v>
          </cell>
        </row>
        <row r="744">
          <cell r="S744">
            <v>43061</v>
          </cell>
          <cell r="T744">
            <v>21000</v>
          </cell>
          <cell r="U744">
            <v>12469</v>
          </cell>
          <cell r="W744" t="str">
            <v>GQS</v>
          </cell>
          <cell r="Z744">
            <v>76530</v>
          </cell>
          <cell r="AB744" t="str">
            <v>REMOTE_CONTROL</v>
          </cell>
        </row>
        <row r="745">
          <cell r="S745">
            <v>25837</v>
          </cell>
          <cell r="T745">
            <v>21000</v>
          </cell>
          <cell r="U745">
            <v>67876</v>
          </cell>
          <cell r="W745" t="str">
            <v>GQS</v>
          </cell>
          <cell r="Z745">
            <v>114713</v>
          </cell>
          <cell r="AB745" t="str">
            <v>TAPE</v>
          </cell>
        </row>
        <row r="746">
          <cell r="S746">
            <v>60285</v>
          </cell>
          <cell r="T746">
            <v>37800</v>
          </cell>
          <cell r="U746">
            <v>105000</v>
          </cell>
          <cell r="W746" t="str">
            <v>GQS</v>
          </cell>
          <cell r="Z746">
            <v>203085</v>
          </cell>
          <cell r="AB746" t="str">
            <v>PART_KIT</v>
          </cell>
        </row>
        <row r="747">
          <cell r="S747">
            <v>43061</v>
          </cell>
          <cell r="T747">
            <v>136500</v>
          </cell>
          <cell r="U747">
            <v>297604</v>
          </cell>
          <cell r="W747" t="str">
            <v>GQS</v>
          </cell>
          <cell r="Z747">
            <v>477165</v>
          </cell>
          <cell r="AB747" t="str">
            <v>MAIN_UNIT</v>
          </cell>
        </row>
        <row r="748">
          <cell r="S748">
            <v>17224</v>
          </cell>
          <cell r="T748">
            <v>42000</v>
          </cell>
          <cell r="U748">
            <v>101545</v>
          </cell>
          <cell r="W748" t="str">
            <v>GQS</v>
          </cell>
          <cell r="Z748">
            <v>160769</v>
          </cell>
          <cell r="AB748" t="str">
            <v>REMOTE_CONTROL</v>
          </cell>
        </row>
        <row r="749">
          <cell r="S749">
            <v>43061</v>
          </cell>
          <cell r="T749">
            <v>0</v>
          </cell>
          <cell r="U749">
            <v>0</v>
          </cell>
          <cell r="W749" t="str">
            <v>GQS</v>
          </cell>
          <cell r="Z749">
            <v>43061</v>
          </cell>
        </row>
        <row r="750">
          <cell r="S750">
            <v>43061</v>
          </cell>
          <cell r="T750">
            <v>21000</v>
          </cell>
          <cell r="U750">
            <v>0</v>
          </cell>
          <cell r="W750" t="str">
            <v>GQS</v>
          </cell>
          <cell r="Z750">
            <v>64061</v>
          </cell>
        </row>
        <row r="751">
          <cell r="S751">
            <v>0</v>
          </cell>
          <cell r="T751">
            <v>0</v>
          </cell>
          <cell r="U751">
            <v>0</v>
          </cell>
          <cell r="W751" t="str">
            <v>GQS</v>
          </cell>
          <cell r="Z751">
            <v>0</v>
          </cell>
          <cell r="AB751" t="str">
            <v>POWER_UNIT</v>
          </cell>
        </row>
        <row r="752">
          <cell r="S752">
            <v>43061</v>
          </cell>
          <cell r="T752">
            <v>105000</v>
          </cell>
          <cell r="U752">
            <v>690392</v>
          </cell>
          <cell r="W752" t="str">
            <v>GQS</v>
          </cell>
          <cell r="Z752">
            <v>838453</v>
          </cell>
          <cell r="AB752" t="str">
            <v>MAIN_UNIT</v>
          </cell>
        </row>
        <row r="753">
          <cell r="S753">
            <v>25837</v>
          </cell>
          <cell r="T753">
            <v>12600</v>
          </cell>
          <cell r="U753">
            <v>297603</v>
          </cell>
          <cell r="W753" t="str">
            <v>GQS</v>
          </cell>
          <cell r="Z753">
            <v>336040</v>
          </cell>
          <cell r="AB753" t="str">
            <v>MAIN_UNIT</v>
          </cell>
        </row>
        <row r="754">
          <cell r="S754">
            <v>17224</v>
          </cell>
          <cell r="T754">
            <v>12600</v>
          </cell>
          <cell r="U754">
            <v>297604</v>
          </cell>
          <cell r="W754" t="str">
            <v>GQS</v>
          </cell>
          <cell r="Z754">
            <v>327428</v>
          </cell>
          <cell r="AB754" t="str">
            <v>MAIN_UNIT</v>
          </cell>
        </row>
        <row r="755">
          <cell r="S755">
            <v>86122</v>
          </cell>
          <cell r="T755">
            <v>31500</v>
          </cell>
          <cell r="U755">
            <v>1820478</v>
          </cell>
          <cell r="W755" t="str">
            <v>GQS</v>
          </cell>
          <cell r="Z755">
            <v>1938100</v>
          </cell>
          <cell r="AB755" t="str">
            <v>PANEL</v>
          </cell>
        </row>
        <row r="756">
          <cell r="S756">
            <v>0</v>
          </cell>
          <cell r="T756">
            <v>0</v>
          </cell>
          <cell r="U756">
            <v>0</v>
          </cell>
          <cell r="W756" t="str">
            <v>GQS</v>
          </cell>
          <cell r="Z756">
            <v>0</v>
          </cell>
          <cell r="AB756" t="str">
            <v>LVDS_WIRE</v>
          </cell>
        </row>
        <row r="757">
          <cell r="S757">
            <v>0</v>
          </cell>
          <cell r="T757">
            <v>0</v>
          </cell>
          <cell r="U757">
            <v>0</v>
          </cell>
          <cell r="W757" t="str">
            <v>GQS</v>
          </cell>
          <cell r="Z757">
            <v>0</v>
          </cell>
          <cell r="AB757" t="str">
            <v>PART_KIT</v>
          </cell>
        </row>
        <row r="758">
          <cell r="S758">
            <v>0</v>
          </cell>
          <cell r="T758">
            <v>0</v>
          </cell>
          <cell r="U758">
            <v>0</v>
          </cell>
          <cell r="W758" t="str">
            <v>GQS</v>
          </cell>
          <cell r="Z758">
            <v>0</v>
          </cell>
          <cell r="AB758" t="str">
            <v>TCON_UNIT</v>
          </cell>
        </row>
        <row r="759">
          <cell r="S759">
            <v>86122</v>
          </cell>
          <cell r="T759">
            <v>21000</v>
          </cell>
          <cell r="U759">
            <v>0</v>
          </cell>
          <cell r="W759" t="str">
            <v>GQS</v>
          </cell>
          <cell r="Z759">
            <v>107122</v>
          </cell>
        </row>
        <row r="760">
          <cell r="S760">
            <v>43061</v>
          </cell>
          <cell r="T760">
            <v>10500</v>
          </cell>
          <cell r="U760">
            <v>113226</v>
          </cell>
          <cell r="W760" t="str">
            <v>GQS</v>
          </cell>
          <cell r="Z760">
            <v>166787</v>
          </cell>
          <cell r="AB760" t="str">
            <v>MAIN_UNIT</v>
          </cell>
        </row>
        <row r="761">
          <cell r="S761">
            <v>86122</v>
          </cell>
          <cell r="T761">
            <v>126000</v>
          </cell>
          <cell r="U761">
            <v>617875</v>
          </cell>
          <cell r="W761" t="str">
            <v>GQS</v>
          </cell>
          <cell r="Z761">
            <v>829997</v>
          </cell>
          <cell r="AB761" t="str">
            <v>PANEL</v>
          </cell>
        </row>
        <row r="762">
          <cell r="S762">
            <v>0</v>
          </cell>
          <cell r="T762">
            <v>0</v>
          </cell>
          <cell r="U762">
            <v>0</v>
          </cell>
          <cell r="W762" t="str">
            <v>GQS</v>
          </cell>
          <cell r="Z762">
            <v>0</v>
          </cell>
          <cell r="AB762" t="str">
            <v>TAPE</v>
          </cell>
        </row>
        <row r="763">
          <cell r="S763">
            <v>25837</v>
          </cell>
          <cell r="T763">
            <v>50400</v>
          </cell>
          <cell r="U763">
            <v>52000</v>
          </cell>
          <cell r="W763" t="str">
            <v>GQS</v>
          </cell>
          <cell r="Z763">
            <v>128237</v>
          </cell>
          <cell r="AB763" t="str">
            <v>PART_KIT</v>
          </cell>
        </row>
        <row r="764">
          <cell r="S764">
            <v>25837</v>
          </cell>
          <cell r="T764">
            <v>21000</v>
          </cell>
          <cell r="U764">
            <v>299936</v>
          </cell>
          <cell r="W764" t="str">
            <v>GQS</v>
          </cell>
          <cell r="Z764">
            <v>346773</v>
          </cell>
          <cell r="AB764" t="str">
            <v>MAIN_UNIT</v>
          </cell>
        </row>
        <row r="765">
          <cell r="S765">
            <v>25837</v>
          </cell>
          <cell r="T765">
            <v>10500</v>
          </cell>
          <cell r="U765">
            <v>0</v>
          </cell>
          <cell r="W765" t="str">
            <v>GQS</v>
          </cell>
          <cell r="Z765">
            <v>36337</v>
          </cell>
        </row>
        <row r="766">
          <cell r="S766">
            <v>0</v>
          </cell>
          <cell r="T766">
            <v>0</v>
          </cell>
          <cell r="U766">
            <v>0</v>
          </cell>
          <cell r="W766" t="str">
            <v>GQS</v>
          </cell>
          <cell r="Z766">
            <v>0</v>
          </cell>
          <cell r="AB766" t="str">
            <v>MAIN_UNIT</v>
          </cell>
        </row>
        <row r="767">
          <cell r="S767">
            <v>86122</v>
          </cell>
          <cell r="T767">
            <v>21000</v>
          </cell>
          <cell r="U767">
            <v>939757</v>
          </cell>
          <cell r="W767" t="str">
            <v>GQS</v>
          </cell>
          <cell r="Z767">
            <v>1046879</v>
          </cell>
          <cell r="AB767" t="str">
            <v>PANEL</v>
          </cell>
        </row>
        <row r="768">
          <cell r="S768">
            <v>0</v>
          </cell>
          <cell r="T768">
            <v>0</v>
          </cell>
          <cell r="U768">
            <v>0</v>
          </cell>
          <cell r="W768" t="str">
            <v>GQS</v>
          </cell>
          <cell r="Z768">
            <v>0</v>
          </cell>
          <cell r="AB768" t="str">
            <v>TAPE</v>
          </cell>
        </row>
        <row r="769">
          <cell r="S769">
            <v>34449</v>
          </cell>
          <cell r="T769">
            <v>37800</v>
          </cell>
          <cell r="U769">
            <v>610637</v>
          </cell>
          <cell r="W769" t="str">
            <v>GQS</v>
          </cell>
          <cell r="Z769">
            <v>682886</v>
          </cell>
          <cell r="AB769" t="str">
            <v>MAIN_UNIT</v>
          </cell>
        </row>
        <row r="770">
          <cell r="S770">
            <v>8612</v>
          </cell>
          <cell r="T770">
            <v>0</v>
          </cell>
          <cell r="U770">
            <v>0</v>
          </cell>
          <cell r="W770" t="str">
            <v>GQS</v>
          </cell>
          <cell r="Z770">
            <v>8612</v>
          </cell>
        </row>
        <row r="771">
          <cell r="S771">
            <v>25837</v>
          </cell>
          <cell r="T771">
            <v>39900</v>
          </cell>
          <cell r="U771">
            <v>0</v>
          </cell>
          <cell r="W771" t="str">
            <v>GQS</v>
          </cell>
          <cell r="Z771">
            <v>65737</v>
          </cell>
        </row>
        <row r="772">
          <cell r="S772">
            <v>86122</v>
          </cell>
          <cell r="T772">
            <v>52500</v>
          </cell>
          <cell r="U772">
            <v>635319</v>
          </cell>
          <cell r="W772" t="str">
            <v>GQS</v>
          </cell>
          <cell r="Z772">
            <v>773941</v>
          </cell>
          <cell r="AB772" t="str">
            <v>MAIN_UNIT</v>
          </cell>
        </row>
        <row r="773">
          <cell r="S773">
            <v>43061</v>
          </cell>
          <cell r="T773">
            <v>42000</v>
          </cell>
          <cell r="U773">
            <v>0</v>
          </cell>
          <cell r="W773" t="str">
            <v>GQS</v>
          </cell>
          <cell r="Z773">
            <v>85061</v>
          </cell>
        </row>
        <row r="774">
          <cell r="S774">
            <v>25837</v>
          </cell>
          <cell r="T774">
            <v>63000</v>
          </cell>
          <cell r="U774">
            <v>969798</v>
          </cell>
          <cell r="W774" t="str">
            <v>GQS</v>
          </cell>
          <cell r="Z774">
            <v>1058635</v>
          </cell>
          <cell r="AB774" t="str">
            <v>PANEL</v>
          </cell>
        </row>
        <row r="775">
          <cell r="S775">
            <v>34449</v>
          </cell>
          <cell r="T775">
            <v>21000</v>
          </cell>
          <cell r="U775">
            <v>0</v>
          </cell>
          <cell r="W775" t="str">
            <v>GQS</v>
          </cell>
          <cell r="Z775">
            <v>55449</v>
          </cell>
        </row>
        <row r="776">
          <cell r="S776">
            <v>25837</v>
          </cell>
          <cell r="T776">
            <v>10500</v>
          </cell>
          <cell r="U776">
            <v>691905</v>
          </cell>
          <cell r="W776" t="str">
            <v>GQS</v>
          </cell>
          <cell r="Z776">
            <v>728242</v>
          </cell>
          <cell r="AB776" t="str">
            <v>MAIN_UNIT</v>
          </cell>
        </row>
        <row r="777">
          <cell r="S777">
            <v>34449</v>
          </cell>
          <cell r="T777">
            <v>67200</v>
          </cell>
          <cell r="U777">
            <v>0</v>
          </cell>
          <cell r="W777" t="str">
            <v>GQS</v>
          </cell>
          <cell r="Z777">
            <v>101649</v>
          </cell>
        </row>
        <row r="778">
          <cell r="S778">
            <v>43061</v>
          </cell>
          <cell r="T778">
            <v>0</v>
          </cell>
          <cell r="U778">
            <v>0</v>
          </cell>
          <cell r="W778" t="str">
            <v>GQS</v>
          </cell>
          <cell r="Z778">
            <v>43061</v>
          </cell>
        </row>
        <row r="779">
          <cell r="S779">
            <v>68898</v>
          </cell>
          <cell r="T779">
            <v>25200</v>
          </cell>
          <cell r="U779">
            <v>610638</v>
          </cell>
          <cell r="W779" t="str">
            <v>GQS</v>
          </cell>
          <cell r="Z779">
            <v>704736</v>
          </cell>
          <cell r="AB779" t="str">
            <v>MAIN_UNIT</v>
          </cell>
        </row>
        <row r="780">
          <cell r="S780">
            <v>34449</v>
          </cell>
          <cell r="T780">
            <v>63000</v>
          </cell>
          <cell r="U780">
            <v>0</v>
          </cell>
          <cell r="W780" t="str">
            <v>GQS</v>
          </cell>
          <cell r="Z780">
            <v>97449</v>
          </cell>
        </row>
        <row r="781">
          <cell r="S781">
            <v>43061</v>
          </cell>
          <cell r="T781">
            <v>21000</v>
          </cell>
          <cell r="U781">
            <v>297604</v>
          </cell>
          <cell r="W781" t="str">
            <v>GQS</v>
          </cell>
          <cell r="Z781">
            <v>361665</v>
          </cell>
          <cell r="AB781" t="str">
            <v>MAIN_UNIT</v>
          </cell>
        </row>
        <row r="782">
          <cell r="S782">
            <v>17224</v>
          </cell>
          <cell r="T782">
            <v>0</v>
          </cell>
          <cell r="U782">
            <v>0</v>
          </cell>
          <cell r="W782" t="str">
            <v>GQS</v>
          </cell>
          <cell r="Z782">
            <v>17224</v>
          </cell>
        </row>
        <row r="783">
          <cell r="S783">
            <v>34449</v>
          </cell>
          <cell r="T783">
            <v>16800</v>
          </cell>
          <cell r="U783">
            <v>0</v>
          </cell>
          <cell r="W783" t="str">
            <v>GQS</v>
          </cell>
          <cell r="Z783">
            <v>51249</v>
          </cell>
        </row>
        <row r="784">
          <cell r="S784">
            <v>17224</v>
          </cell>
          <cell r="T784">
            <v>25200</v>
          </cell>
          <cell r="U784">
            <v>0</v>
          </cell>
          <cell r="W784" t="str">
            <v>GQS</v>
          </cell>
          <cell r="Z784">
            <v>42424</v>
          </cell>
        </row>
        <row r="785">
          <cell r="S785">
            <v>43061</v>
          </cell>
          <cell r="T785">
            <v>21000</v>
          </cell>
          <cell r="U785">
            <v>316601</v>
          </cell>
          <cell r="W785" t="str">
            <v>GQS</v>
          </cell>
          <cell r="Z785">
            <v>380662</v>
          </cell>
          <cell r="AB785" t="str">
            <v>MAIN_UNIT</v>
          </cell>
        </row>
        <row r="786">
          <cell r="S786">
            <v>86122</v>
          </cell>
          <cell r="T786">
            <v>21000</v>
          </cell>
          <cell r="U786">
            <v>0</v>
          </cell>
          <cell r="W786" t="str">
            <v>GQS</v>
          </cell>
          <cell r="Z786">
            <v>107122</v>
          </cell>
        </row>
        <row r="787">
          <cell r="S787">
            <v>34449</v>
          </cell>
          <cell r="T787">
            <v>79800</v>
          </cell>
          <cell r="U787">
            <v>0</v>
          </cell>
          <cell r="W787" t="str">
            <v>GQS</v>
          </cell>
          <cell r="Z787">
            <v>114249</v>
          </cell>
        </row>
        <row r="788">
          <cell r="S788">
            <v>43061</v>
          </cell>
          <cell r="T788">
            <v>16800</v>
          </cell>
          <cell r="U788">
            <v>297604</v>
          </cell>
          <cell r="W788" t="str">
            <v>GQS</v>
          </cell>
          <cell r="Z788">
            <v>357465</v>
          </cell>
          <cell r="AB788" t="str">
            <v>MAIN_UNIT</v>
          </cell>
        </row>
        <row r="789">
          <cell r="S789">
            <v>43061</v>
          </cell>
          <cell r="T789">
            <v>21000</v>
          </cell>
          <cell r="U789">
            <v>1055402</v>
          </cell>
          <cell r="W789" t="str">
            <v>GQS</v>
          </cell>
          <cell r="Z789">
            <v>1119463</v>
          </cell>
          <cell r="AB789" t="str">
            <v>MAIN_UNIT</v>
          </cell>
        </row>
        <row r="790">
          <cell r="S790">
            <v>86122</v>
          </cell>
          <cell r="T790">
            <v>21000</v>
          </cell>
          <cell r="U790">
            <v>0</v>
          </cell>
          <cell r="W790" t="str">
            <v>GQS</v>
          </cell>
          <cell r="Z790">
            <v>107122</v>
          </cell>
        </row>
        <row r="791">
          <cell r="S791">
            <v>43061</v>
          </cell>
          <cell r="T791">
            <v>50400</v>
          </cell>
          <cell r="U791">
            <v>1286399</v>
          </cell>
          <cell r="W791" t="str">
            <v>GQS</v>
          </cell>
          <cell r="Z791">
            <v>1379860</v>
          </cell>
          <cell r="AB791" t="str">
            <v>PANEL</v>
          </cell>
        </row>
        <row r="792">
          <cell r="S792">
            <v>0</v>
          </cell>
          <cell r="T792">
            <v>0</v>
          </cell>
          <cell r="U792">
            <v>0</v>
          </cell>
          <cell r="W792" t="str">
            <v>GQS</v>
          </cell>
          <cell r="Z792">
            <v>0</v>
          </cell>
          <cell r="AB792" t="str">
            <v>MAIN_UNIT</v>
          </cell>
        </row>
        <row r="793">
          <cell r="S793">
            <v>43061</v>
          </cell>
          <cell r="T793">
            <v>147000</v>
          </cell>
          <cell r="U793">
            <v>0</v>
          </cell>
          <cell r="W793" t="str">
            <v>GQS</v>
          </cell>
          <cell r="Z793">
            <v>190061</v>
          </cell>
        </row>
        <row r="794">
          <cell r="S794">
            <v>43061</v>
          </cell>
          <cell r="T794">
            <v>115500</v>
          </cell>
          <cell r="U794">
            <v>0</v>
          </cell>
          <cell r="W794" t="str">
            <v>GQS</v>
          </cell>
          <cell r="Z794">
            <v>158561</v>
          </cell>
        </row>
        <row r="795">
          <cell r="S795">
            <v>86122</v>
          </cell>
          <cell r="T795">
            <v>10500</v>
          </cell>
          <cell r="U795">
            <v>0</v>
          </cell>
          <cell r="W795" t="str">
            <v>GQS</v>
          </cell>
          <cell r="Z795">
            <v>96622</v>
          </cell>
        </row>
        <row r="796">
          <cell r="S796">
            <v>43061</v>
          </cell>
          <cell r="T796">
            <v>21000</v>
          </cell>
          <cell r="U796">
            <v>0</v>
          </cell>
          <cell r="W796" t="str">
            <v>GQS</v>
          </cell>
          <cell r="Z796">
            <v>64061</v>
          </cell>
        </row>
        <row r="797">
          <cell r="S797">
            <v>25837</v>
          </cell>
          <cell r="T797">
            <v>16800</v>
          </cell>
          <cell r="U797">
            <v>0</v>
          </cell>
          <cell r="W797" t="str">
            <v>GQS</v>
          </cell>
          <cell r="Z797">
            <v>42637</v>
          </cell>
        </row>
        <row r="798">
          <cell r="S798">
            <v>25837</v>
          </cell>
          <cell r="T798">
            <v>16800</v>
          </cell>
          <cell r="U798">
            <v>0</v>
          </cell>
          <cell r="W798" t="str">
            <v>GQS</v>
          </cell>
          <cell r="Z798">
            <v>42637</v>
          </cell>
        </row>
        <row r="799">
          <cell r="S799">
            <v>0</v>
          </cell>
          <cell r="T799">
            <v>0</v>
          </cell>
          <cell r="U799">
            <v>0</v>
          </cell>
          <cell r="W799" t="str">
            <v>GQS</v>
          </cell>
          <cell r="Z799">
            <v>0</v>
          </cell>
          <cell r="AB799" t="str">
            <v>PART_KIT</v>
          </cell>
        </row>
        <row r="800">
          <cell r="S800">
            <v>43061</v>
          </cell>
          <cell r="T800">
            <v>21000</v>
          </cell>
          <cell r="U800">
            <v>1158784</v>
          </cell>
          <cell r="W800" t="str">
            <v>GQS</v>
          </cell>
          <cell r="Z800">
            <v>1222845</v>
          </cell>
          <cell r="AB800" t="str">
            <v>MAIN_UNIT</v>
          </cell>
        </row>
        <row r="801">
          <cell r="S801">
            <v>86122</v>
          </cell>
          <cell r="T801">
            <v>37800</v>
          </cell>
          <cell r="U801">
            <v>67875</v>
          </cell>
          <cell r="W801" t="str">
            <v>GQS</v>
          </cell>
          <cell r="Z801">
            <v>191797</v>
          </cell>
          <cell r="AB801" t="str">
            <v>TAPE</v>
          </cell>
        </row>
        <row r="802">
          <cell r="S802">
            <v>86122</v>
          </cell>
          <cell r="T802">
            <v>21000</v>
          </cell>
          <cell r="U802">
            <v>0</v>
          </cell>
          <cell r="W802" t="str">
            <v>GQS</v>
          </cell>
          <cell r="Z802">
            <v>107122</v>
          </cell>
        </row>
        <row r="803">
          <cell r="S803">
            <v>25837</v>
          </cell>
          <cell r="T803">
            <v>37800</v>
          </cell>
          <cell r="U803">
            <v>969798</v>
          </cell>
          <cell r="W803" t="str">
            <v>GQS</v>
          </cell>
          <cell r="Z803">
            <v>1033435</v>
          </cell>
          <cell r="AB803" t="str">
            <v>PANEL</v>
          </cell>
        </row>
        <row r="804">
          <cell r="S804">
            <v>17224</v>
          </cell>
          <cell r="T804">
            <v>12600</v>
          </cell>
          <cell r="U804">
            <v>0</v>
          </cell>
          <cell r="W804" t="str">
            <v>GQS</v>
          </cell>
          <cell r="Z804">
            <v>29824</v>
          </cell>
        </row>
        <row r="805">
          <cell r="S805">
            <v>17224</v>
          </cell>
          <cell r="T805">
            <v>21000</v>
          </cell>
          <cell r="U805">
            <v>0</v>
          </cell>
          <cell r="W805" t="str">
            <v>GQS</v>
          </cell>
          <cell r="Z805">
            <v>38224</v>
          </cell>
        </row>
        <row r="806">
          <cell r="S806">
            <v>86122</v>
          </cell>
          <cell r="T806">
            <v>21000</v>
          </cell>
          <cell r="U806">
            <v>602572</v>
          </cell>
          <cell r="W806" t="str">
            <v>GQS</v>
          </cell>
          <cell r="Z806">
            <v>709694</v>
          </cell>
          <cell r="AB806" t="str">
            <v>MAIN_UNIT</v>
          </cell>
        </row>
        <row r="807">
          <cell r="S807">
            <v>86122</v>
          </cell>
          <cell r="T807">
            <v>21000</v>
          </cell>
          <cell r="U807">
            <v>316601</v>
          </cell>
          <cell r="W807" t="str">
            <v>GQS</v>
          </cell>
          <cell r="Z807">
            <v>423723</v>
          </cell>
          <cell r="AB807" t="str">
            <v>MAIN_UNIT</v>
          </cell>
        </row>
        <row r="808">
          <cell r="S808">
            <v>17224</v>
          </cell>
          <cell r="T808">
            <v>10500</v>
          </cell>
          <cell r="U808">
            <v>969798</v>
          </cell>
          <cell r="W808" t="str">
            <v>GQS</v>
          </cell>
          <cell r="Z808">
            <v>997522</v>
          </cell>
          <cell r="AB808" t="str">
            <v>PANEL</v>
          </cell>
        </row>
        <row r="809">
          <cell r="S809">
            <v>43061</v>
          </cell>
          <cell r="T809">
            <v>25200</v>
          </cell>
          <cell r="U809">
            <v>969798</v>
          </cell>
          <cell r="W809" t="str">
            <v>GQS</v>
          </cell>
          <cell r="Z809">
            <v>1038059</v>
          </cell>
          <cell r="AB809" t="str">
            <v>PANEL</v>
          </cell>
        </row>
        <row r="810">
          <cell r="S810">
            <v>86122</v>
          </cell>
          <cell r="T810">
            <v>10500</v>
          </cell>
          <cell r="U810">
            <v>0</v>
          </cell>
          <cell r="W810" t="str">
            <v>GQS</v>
          </cell>
          <cell r="Z810">
            <v>96622</v>
          </cell>
        </row>
        <row r="811">
          <cell r="S811">
            <v>43061</v>
          </cell>
          <cell r="T811">
            <v>21000</v>
          </cell>
          <cell r="U811">
            <v>299936</v>
          </cell>
          <cell r="W811" t="str">
            <v>GQS</v>
          </cell>
          <cell r="Z811">
            <v>363997</v>
          </cell>
          <cell r="AB811" t="str">
            <v>MAIN_UNIT</v>
          </cell>
        </row>
        <row r="812">
          <cell r="S812">
            <v>25837</v>
          </cell>
          <cell r="T812">
            <v>84000</v>
          </cell>
          <cell r="U812">
            <v>0</v>
          </cell>
          <cell r="W812" t="str">
            <v>GQS</v>
          </cell>
          <cell r="Z812">
            <v>109837</v>
          </cell>
        </row>
        <row r="813">
          <cell r="S813">
            <v>43061</v>
          </cell>
          <cell r="T813">
            <v>18900</v>
          </cell>
          <cell r="U813">
            <v>0</v>
          </cell>
          <cell r="W813" t="str">
            <v>GQS</v>
          </cell>
          <cell r="Z813">
            <v>61961</v>
          </cell>
        </row>
        <row r="814">
          <cell r="S814">
            <v>43061</v>
          </cell>
          <cell r="T814">
            <v>18900</v>
          </cell>
          <cell r="U814">
            <v>818684</v>
          </cell>
          <cell r="W814" t="str">
            <v>GQS</v>
          </cell>
          <cell r="Z814">
            <v>880645</v>
          </cell>
          <cell r="AB814" t="str">
            <v>MAIN_UNIT</v>
          </cell>
        </row>
        <row r="815">
          <cell r="S815">
            <v>43061</v>
          </cell>
          <cell r="T815">
            <v>8400</v>
          </cell>
          <cell r="U815">
            <v>569380</v>
          </cell>
          <cell r="W815" t="str">
            <v>GQS</v>
          </cell>
          <cell r="Z815">
            <v>620841</v>
          </cell>
          <cell r="AB815" t="str">
            <v>PANEL</v>
          </cell>
        </row>
        <row r="816">
          <cell r="S816">
            <v>43061</v>
          </cell>
          <cell r="T816">
            <v>8400</v>
          </cell>
          <cell r="U816">
            <v>969798</v>
          </cell>
          <cell r="W816" t="str">
            <v>GQS</v>
          </cell>
          <cell r="Z816">
            <v>1021259</v>
          </cell>
          <cell r="AB816" t="str">
            <v>PANEL</v>
          </cell>
        </row>
        <row r="817">
          <cell r="S817">
            <v>43061</v>
          </cell>
          <cell r="T817">
            <v>8400</v>
          </cell>
          <cell r="U817">
            <v>569380</v>
          </cell>
          <cell r="W817" t="str">
            <v>GQS</v>
          </cell>
          <cell r="Z817">
            <v>620841</v>
          </cell>
          <cell r="AB817" t="str">
            <v>PANEL</v>
          </cell>
        </row>
        <row r="818">
          <cell r="S818">
            <v>43061</v>
          </cell>
          <cell r="T818">
            <v>21000</v>
          </cell>
          <cell r="U818">
            <v>1373767</v>
          </cell>
          <cell r="W818" t="str">
            <v>GQS</v>
          </cell>
          <cell r="Z818">
            <v>1437828</v>
          </cell>
          <cell r="AB818" t="str">
            <v>PANEL</v>
          </cell>
        </row>
        <row r="819">
          <cell r="S819">
            <v>43061</v>
          </cell>
          <cell r="T819">
            <v>37800</v>
          </cell>
          <cell r="U819">
            <v>0</v>
          </cell>
          <cell r="W819" t="str">
            <v>GQS</v>
          </cell>
          <cell r="Z819">
            <v>80861</v>
          </cell>
        </row>
        <row r="820">
          <cell r="S820">
            <v>25837</v>
          </cell>
          <cell r="T820">
            <v>126000</v>
          </cell>
          <cell r="U820">
            <v>0</v>
          </cell>
          <cell r="W820" t="str">
            <v>GQS</v>
          </cell>
          <cell r="Z820">
            <v>151837</v>
          </cell>
        </row>
        <row r="821">
          <cell r="S821">
            <v>43061</v>
          </cell>
          <cell r="T821">
            <v>168000</v>
          </cell>
          <cell r="U821">
            <v>0</v>
          </cell>
          <cell r="W821" t="str">
            <v>GQS</v>
          </cell>
          <cell r="Z821">
            <v>211061</v>
          </cell>
        </row>
        <row r="822">
          <cell r="S822">
            <v>25837</v>
          </cell>
          <cell r="T822">
            <v>256200</v>
          </cell>
          <cell r="U822">
            <v>0</v>
          </cell>
          <cell r="W822" t="str">
            <v>GQS</v>
          </cell>
          <cell r="Z822">
            <v>282037</v>
          </cell>
        </row>
        <row r="823">
          <cell r="S823">
            <v>34449</v>
          </cell>
          <cell r="T823">
            <v>52500</v>
          </cell>
          <cell r="U823">
            <v>297604</v>
          </cell>
          <cell r="W823" t="str">
            <v>GQS</v>
          </cell>
          <cell r="Z823">
            <v>384553</v>
          </cell>
          <cell r="AB823" t="str">
            <v>MAIN_UNIT</v>
          </cell>
        </row>
        <row r="824">
          <cell r="S824">
            <v>86122</v>
          </cell>
          <cell r="T824">
            <v>2100</v>
          </cell>
          <cell r="U824">
            <v>0</v>
          </cell>
          <cell r="W824" t="str">
            <v>GQS</v>
          </cell>
          <cell r="Z824">
            <v>88222</v>
          </cell>
        </row>
        <row r="825">
          <cell r="S825">
            <v>43061</v>
          </cell>
          <cell r="T825">
            <v>6300</v>
          </cell>
          <cell r="U825">
            <v>297604</v>
          </cell>
          <cell r="W825" t="str">
            <v>GQS</v>
          </cell>
          <cell r="Z825">
            <v>346965</v>
          </cell>
          <cell r="AB825" t="str">
            <v>MAIN_UNIT</v>
          </cell>
        </row>
        <row r="826">
          <cell r="S826">
            <v>25837</v>
          </cell>
          <cell r="T826">
            <v>10500</v>
          </cell>
          <cell r="U826">
            <v>0</v>
          </cell>
          <cell r="W826" t="str">
            <v>GQS</v>
          </cell>
          <cell r="Z826">
            <v>36337</v>
          </cell>
        </row>
        <row r="827">
          <cell r="S827">
            <v>43061</v>
          </cell>
          <cell r="T827">
            <v>84000</v>
          </cell>
          <cell r="U827">
            <v>297603</v>
          </cell>
          <cell r="W827" t="str">
            <v>GQS</v>
          </cell>
          <cell r="Z827">
            <v>424664</v>
          </cell>
          <cell r="AB827" t="str">
            <v>MAIN_UNIT</v>
          </cell>
        </row>
        <row r="828">
          <cell r="S828">
            <v>86122</v>
          </cell>
          <cell r="T828">
            <v>12600</v>
          </cell>
          <cell r="U828">
            <v>0</v>
          </cell>
          <cell r="W828" t="str">
            <v>GQS</v>
          </cell>
          <cell r="Z828">
            <v>98722</v>
          </cell>
        </row>
        <row r="829">
          <cell r="S829">
            <v>129183</v>
          </cell>
          <cell r="T829">
            <v>31500</v>
          </cell>
          <cell r="U829">
            <v>972376</v>
          </cell>
          <cell r="W829" t="str">
            <v>GQS</v>
          </cell>
          <cell r="Z829">
            <v>1133059</v>
          </cell>
          <cell r="AB829" t="str">
            <v>MAIN_UNIT</v>
          </cell>
        </row>
        <row r="830">
          <cell r="S830">
            <v>25837</v>
          </cell>
          <cell r="T830">
            <v>33600</v>
          </cell>
          <cell r="U830">
            <v>0</v>
          </cell>
          <cell r="W830" t="str">
            <v>GQS</v>
          </cell>
          <cell r="Z830">
            <v>59437</v>
          </cell>
        </row>
        <row r="831">
          <cell r="S831">
            <v>43061</v>
          </cell>
          <cell r="T831">
            <v>31500</v>
          </cell>
          <cell r="U831">
            <v>0</v>
          </cell>
          <cell r="W831" t="str">
            <v>GQS</v>
          </cell>
          <cell r="Z831">
            <v>74561</v>
          </cell>
        </row>
        <row r="832">
          <cell r="S832">
            <v>68898</v>
          </cell>
          <cell r="T832">
            <v>31500</v>
          </cell>
          <cell r="U832">
            <v>0</v>
          </cell>
          <cell r="W832" t="str">
            <v>GQS</v>
          </cell>
          <cell r="Z832">
            <v>100398</v>
          </cell>
        </row>
        <row r="833">
          <cell r="S833">
            <v>25837</v>
          </cell>
          <cell r="T833">
            <v>105000</v>
          </cell>
          <cell r="U833">
            <v>610637</v>
          </cell>
          <cell r="W833" t="str">
            <v>GQS</v>
          </cell>
          <cell r="Z833">
            <v>741474</v>
          </cell>
          <cell r="AB833" t="str">
            <v>MAIN_UNIT</v>
          </cell>
        </row>
        <row r="834">
          <cell r="S834">
            <v>25837</v>
          </cell>
          <cell r="T834">
            <v>12600</v>
          </cell>
          <cell r="U834">
            <v>0</v>
          </cell>
          <cell r="W834" t="str">
            <v>GQS</v>
          </cell>
          <cell r="Z834">
            <v>38437</v>
          </cell>
        </row>
        <row r="835">
          <cell r="S835">
            <v>25837</v>
          </cell>
          <cell r="T835">
            <v>105000</v>
          </cell>
          <cell r="U835">
            <v>299936</v>
          </cell>
          <cell r="W835" t="str">
            <v>GQS</v>
          </cell>
          <cell r="Z835">
            <v>430773</v>
          </cell>
          <cell r="AB835" t="str">
            <v>MAIN_UNIT</v>
          </cell>
        </row>
        <row r="836">
          <cell r="S836">
            <v>43061</v>
          </cell>
          <cell r="T836">
            <v>27300</v>
          </cell>
          <cell r="U836">
            <v>0</v>
          </cell>
          <cell r="W836" t="str">
            <v>GQS</v>
          </cell>
          <cell r="Z836">
            <v>70361</v>
          </cell>
        </row>
        <row r="837">
          <cell r="S837">
            <v>8612</v>
          </cell>
          <cell r="T837">
            <v>0</v>
          </cell>
          <cell r="U837">
            <v>0</v>
          </cell>
          <cell r="W837" t="str">
            <v>GQS</v>
          </cell>
          <cell r="Z837">
            <v>8612</v>
          </cell>
        </row>
        <row r="838">
          <cell r="S838">
            <v>8612</v>
          </cell>
          <cell r="T838">
            <v>2100</v>
          </cell>
          <cell r="U838">
            <v>0</v>
          </cell>
          <cell r="W838" t="str">
            <v>GQS</v>
          </cell>
          <cell r="Z838">
            <v>10712</v>
          </cell>
        </row>
        <row r="839">
          <cell r="S839">
            <v>25837</v>
          </cell>
          <cell r="T839">
            <v>0</v>
          </cell>
          <cell r="U839">
            <v>0</v>
          </cell>
          <cell r="W839" t="str">
            <v>GQS</v>
          </cell>
          <cell r="Z839">
            <v>25837</v>
          </cell>
        </row>
        <row r="840">
          <cell r="S840">
            <v>43061</v>
          </cell>
          <cell r="T840">
            <v>121800</v>
          </cell>
          <cell r="U840">
            <v>0</v>
          </cell>
          <cell r="W840" t="str">
            <v>GQS</v>
          </cell>
          <cell r="Z840">
            <v>164861</v>
          </cell>
        </row>
        <row r="841">
          <cell r="S841">
            <v>86122</v>
          </cell>
          <cell r="T841">
            <v>21000</v>
          </cell>
          <cell r="U841">
            <v>0</v>
          </cell>
          <cell r="W841" t="str">
            <v>GQS</v>
          </cell>
          <cell r="Z841">
            <v>107122</v>
          </cell>
        </row>
        <row r="842">
          <cell r="S842">
            <v>43061</v>
          </cell>
          <cell r="T842">
            <v>2100</v>
          </cell>
          <cell r="U842">
            <v>0</v>
          </cell>
          <cell r="W842" t="str">
            <v>GQS</v>
          </cell>
          <cell r="Z842">
            <v>45161</v>
          </cell>
        </row>
        <row r="843">
          <cell r="S843">
            <v>51673</v>
          </cell>
          <cell r="T843">
            <v>56700</v>
          </cell>
          <cell r="U843">
            <v>969798</v>
          </cell>
          <cell r="W843" t="str">
            <v>GQS</v>
          </cell>
          <cell r="Z843">
            <v>1078171</v>
          </cell>
          <cell r="AB843" t="str">
            <v>PANEL</v>
          </cell>
        </row>
        <row r="844">
          <cell r="S844">
            <v>51673</v>
          </cell>
          <cell r="T844">
            <v>35700</v>
          </cell>
          <cell r="U844">
            <v>639820</v>
          </cell>
          <cell r="W844" t="str">
            <v>GQS</v>
          </cell>
          <cell r="Z844">
            <v>727193</v>
          </cell>
          <cell r="AB844" t="str">
            <v>PANEL</v>
          </cell>
        </row>
        <row r="845">
          <cell r="S845">
            <v>0</v>
          </cell>
          <cell r="T845">
            <v>0</v>
          </cell>
          <cell r="U845">
            <v>0</v>
          </cell>
          <cell r="W845" t="str">
            <v>GQS</v>
          </cell>
          <cell r="Z845">
            <v>0</v>
          </cell>
          <cell r="AB845" t="str">
            <v>TAPE</v>
          </cell>
        </row>
        <row r="846">
          <cell r="S846">
            <v>43061</v>
          </cell>
          <cell r="T846">
            <v>31500</v>
          </cell>
          <cell r="U846">
            <v>0</v>
          </cell>
          <cell r="W846" t="str">
            <v>GQS</v>
          </cell>
          <cell r="Z846">
            <v>74561</v>
          </cell>
        </row>
        <row r="847">
          <cell r="S847">
            <v>43061</v>
          </cell>
          <cell r="T847">
            <v>52500</v>
          </cell>
          <cell r="U847">
            <v>1133923</v>
          </cell>
          <cell r="W847" t="str">
            <v>GQS</v>
          </cell>
          <cell r="Z847">
            <v>1229484</v>
          </cell>
          <cell r="AB847" t="str">
            <v>PANEL</v>
          </cell>
        </row>
        <row r="848">
          <cell r="S848">
            <v>0</v>
          </cell>
          <cell r="T848">
            <v>0</v>
          </cell>
          <cell r="U848">
            <v>0</v>
          </cell>
          <cell r="W848" t="str">
            <v>GQS</v>
          </cell>
          <cell r="Z848">
            <v>0</v>
          </cell>
          <cell r="AB848" t="str">
            <v>TAPE</v>
          </cell>
        </row>
        <row r="849">
          <cell r="S849">
            <v>43061</v>
          </cell>
          <cell r="T849">
            <v>44100</v>
          </cell>
          <cell r="U849">
            <v>0</v>
          </cell>
          <cell r="W849" t="str">
            <v>GQS</v>
          </cell>
          <cell r="Z849">
            <v>87161</v>
          </cell>
        </row>
        <row r="850">
          <cell r="S850">
            <v>25837</v>
          </cell>
          <cell r="T850">
            <v>21000</v>
          </cell>
          <cell r="U850">
            <v>0</v>
          </cell>
          <cell r="W850" t="str">
            <v>GQS</v>
          </cell>
          <cell r="Z850">
            <v>46837</v>
          </cell>
        </row>
        <row r="851">
          <cell r="S851">
            <v>86122</v>
          </cell>
          <cell r="T851">
            <v>42000</v>
          </cell>
          <cell r="U851">
            <v>0</v>
          </cell>
          <cell r="W851" t="str">
            <v>GQS</v>
          </cell>
          <cell r="Z851">
            <v>128122</v>
          </cell>
        </row>
        <row r="852">
          <cell r="S852">
            <v>43061</v>
          </cell>
          <cell r="T852">
            <v>121800</v>
          </cell>
          <cell r="U852">
            <v>297604</v>
          </cell>
          <cell r="W852" t="str">
            <v>GQS</v>
          </cell>
          <cell r="Z852">
            <v>462465</v>
          </cell>
          <cell r="AB852" t="str">
            <v>MAIN_UNIT</v>
          </cell>
        </row>
        <row r="853">
          <cell r="S853">
            <v>34449</v>
          </cell>
          <cell r="T853">
            <v>23100</v>
          </cell>
          <cell r="U853">
            <v>550000</v>
          </cell>
          <cell r="W853" t="str">
            <v>GQS</v>
          </cell>
          <cell r="Z853">
            <v>607549</v>
          </cell>
          <cell r="AB853" t="str">
            <v>PANEL</v>
          </cell>
        </row>
        <row r="854">
          <cell r="S854">
            <v>86122</v>
          </cell>
          <cell r="T854">
            <v>63000</v>
          </cell>
          <cell r="U854">
            <v>0</v>
          </cell>
          <cell r="W854" t="str">
            <v>GQS</v>
          </cell>
          <cell r="Z854">
            <v>149122</v>
          </cell>
        </row>
        <row r="855">
          <cell r="S855">
            <v>43061</v>
          </cell>
          <cell r="T855">
            <v>37800</v>
          </cell>
          <cell r="U855">
            <v>0</v>
          </cell>
          <cell r="W855" t="str">
            <v>GQS</v>
          </cell>
          <cell r="Z855">
            <v>80861</v>
          </cell>
        </row>
        <row r="856">
          <cell r="S856">
            <v>25837</v>
          </cell>
          <cell r="T856">
            <v>10500</v>
          </cell>
          <cell r="U856">
            <v>0</v>
          </cell>
          <cell r="W856" t="str">
            <v>GQS</v>
          </cell>
          <cell r="Z856">
            <v>36337</v>
          </cell>
        </row>
        <row r="857">
          <cell r="S857">
            <v>86122</v>
          </cell>
          <cell r="T857">
            <v>21000</v>
          </cell>
          <cell r="U857">
            <v>969798</v>
          </cell>
          <cell r="W857" t="str">
            <v>GQS</v>
          </cell>
          <cell r="Z857">
            <v>1076920</v>
          </cell>
          <cell r="AB857" t="str">
            <v>PANEL</v>
          </cell>
        </row>
        <row r="858">
          <cell r="S858">
            <v>17224</v>
          </cell>
          <cell r="T858">
            <v>0</v>
          </cell>
          <cell r="U858">
            <v>0</v>
          </cell>
          <cell r="W858" t="str">
            <v>GQS</v>
          </cell>
          <cell r="Z858">
            <v>17224</v>
          </cell>
        </row>
        <row r="859">
          <cell r="S859">
            <v>86122</v>
          </cell>
          <cell r="T859">
            <v>42000</v>
          </cell>
          <cell r="U859">
            <v>0</v>
          </cell>
          <cell r="W859" t="str">
            <v>GQS</v>
          </cell>
          <cell r="Z859">
            <v>128122</v>
          </cell>
        </row>
        <row r="860">
          <cell r="S860">
            <v>34449</v>
          </cell>
          <cell r="T860">
            <v>10500</v>
          </cell>
          <cell r="U860">
            <v>0</v>
          </cell>
          <cell r="W860" t="str">
            <v>GQS</v>
          </cell>
          <cell r="Z860">
            <v>44949</v>
          </cell>
        </row>
        <row r="861">
          <cell r="S861">
            <v>43061</v>
          </cell>
          <cell r="T861">
            <v>44100</v>
          </cell>
          <cell r="U861">
            <v>0</v>
          </cell>
          <cell r="W861" t="str">
            <v>GQS</v>
          </cell>
          <cell r="Z861">
            <v>87161</v>
          </cell>
        </row>
        <row r="862">
          <cell r="S862">
            <v>51673</v>
          </cell>
          <cell r="T862">
            <v>50400</v>
          </cell>
          <cell r="U862">
            <v>105000</v>
          </cell>
          <cell r="W862" t="str">
            <v>GQS</v>
          </cell>
          <cell r="Z862">
            <v>207073</v>
          </cell>
          <cell r="AB862" t="str">
            <v>PART_KIT</v>
          </cell>
        </row>
        <row r="863">
          <cell r="S863">
            <v>51673</v>
          </cell>
          <cell r="T863">
            <v>50400</v>
          </cell>
          <cell r="U863">
            <v>0</v>
          </cell>
          <cell r="W863" t="str">
            <v>GQS</v>
          </cell>
          <cell r="Z863">
            <v>102073</v>
          </cell>
        </row>
        <row r="864">
          <cell r="S864">
            <v>17224</v>
          </cell>
          <cell r="T864">
            <v>21000</v>
          </cell>
          <cell r="U864">
            <v>602572</v>
          </cell>
          <cell r="W864" t="str">
            <v>GQS</v>
          </cell>
          <cell r="Z864">
            <v>640796</v>
          </cell>
          <cell r="AB864" t="str">
            <v>MAIN_UNIT</v>
          </cell>
        </row>
        <row r="865">
          <cell r="S865">
            <v>43061</v>
          </cell>
          <cell r="T865">
            <v>42000</v>
          </cell>
          <cell r="U865">
            <v>367125</v>
          </cell>
          <cell r="W865" t="str">
            <v>GQS</v>
          </cell>
          <cell r="Z865">
            <v>452186</v>
          </cell>
          <cell r="AB865" t="str">
            <v>PANEL</v>
          </cell>
        </row>
        <row r="866">
          <cell r="S866">
            <v>43061</v>
          </cell>
          <cell r="T866">
            <v>21000</v>
          </cell>
          <cell r="U866">
            <v>0</v>
          </cell>
          <cell r="W866" t="str">
            <v>GQS</v>
          </cell>
          <cell r="Z866">
            <v>64061</v>
          </cell>
        </row>
        <row r="867">
          <cell r="S867">
            <v>43061</v>
          </cell>
          <cell r="T867">
            <v>42000</v>
          </cell>
          <cell r="U867">
            <v>12469</v>
          </cell>
          <cell r="W867" t="str">
            <v>GQS</v>
          </cell>
          <cell r="Z867">
            <v>97530</v>
          </cell>
          <cell r="AB867" t="str">
            <v>REMOTE_CONTROL</v>
          </cell>
        </row>
        <row r="868">
          <cell r="S868">
            <v>25837</v>
          </cell>
          <cell r="T868">
            <v>4200</v>
          </cell>
          <cell r="U868">
            <v>0</v>
          </cell>
          <cell r="W868" t="str">
            <v>GQS</v>
          </cell>
          <cell r="Z868">
            <v>30037</v>
          </cell>
        </row>
        <row r="869">
          <cell r="S869">
            <v>34449</v>
          </cell>
          <cell r="T869">
            <v>37800</v>
          </cell>
          <cell r="U869">
            <v>0</v>
          </cell>
          <cell r="W869" t="str">
            <v>GQS</v>
          </cell>
          <cell r="Z869">
            <v>72249</v>
          </cell>
        </row>
        <row r="870">
          <cell r="S870">
            <v>25837</v>
          </cell>
          <cell r="T870">
            <v>0</v>
          </cell>
          <cell r="U870">
            <v>0</v>
          </cell>
          <cell r="W870" t="str">
            <v>GQS</v>
          </cell>
          <cell r="Z870">
            <v>25837</v>
          </cell>
        </row>
        <row r="871">
          <cell r="S871">
            <v>25837</v>
          </cell>
          <cell r="T871">
            <v>0</v>
          </cell>
          <cell r="U871">
            <v>0</v>
          </cell>
          <cell r="W871" t="str">
            <v>GQS</v>
          </cell>
          <cell r="Z871">
            <v>25837</v>
          </cell>
        </row>
        <row r="872">
          <cell r="S872">
            <v>17224</v>
          </cell>
          <cell r="T872">
            <v>16800</v>
          </cell>
          <cell r="U872">
            <v>0</v>
          </cell>
          <cell r="W872" t="str">
            <v>GQS</v>
          </cell>
          <cell r="Z872">
            <v>34024</v>
          </cell>
        </row>
        <row r="873">
          <cell r="S873">
            <v>25837</v>
          </cell>
          <cell r="T873">
            <v>12600</v>
          </cell>
          <cell r="U873">
            <v>0</v>
          </cell>
          <cell r="W873" t="str">
            <v>GQS</v>
          </cell>
          <cell r="Z873">
            <v>38437</v>
          </cell>
        </row>
        <row r="874">
          <cell r="S874">
            <v>51673</v>
          </cell>
          <cell r="T874">
            <v>16800</v>
          </cell>
          <cell r="U874">
            <v>0</v>
          </cell>
          <cell r="W874" t="str">
            <v>GQS</v>
          </cell>
          <cell r="Z874">
            <v>68473</v>
          </cell>
        </row>
        <row r="875">
          <cell r="S875">
            <v>43061</v>
          </cell>
          <cell r="T875">
            <v>35700</v>
          </cell>
          <cell r="U875">
            <v>0</v>
          </cell>
          <cell r="W875" t="str">
            <v>GQS</v>
          </cell>
          <cell r="Z875">
            <v>78761</v>
          </cell>
        </row>
        <row r="876">
          <cell r="S876">
            <v>43061</v>
          </cell>
          <cell r="T876">
            <v>128100</v>
          </cell>
          <cell r="U876">
            <v>0</v>
          </cell>
          <cell r="W876" t="str">
            <v>GQS</v>
          </cell>
          <cell r="Z876">
            <v>171161</v>
          </cell>
        </row>
        <row r="877">
          <cell r="S877">
            <v>25837</v>
          </cell>
          <cell r="T877">
            <v>58800</v>
          </cell>
          <cell r="U877">
            <v>0</v>
          </cell>
          <cell r="W877" t="str">
            <v>GQS</v>
          </cell>
          <cell r="Z877">
            <v>84637</v>
          </cell>
        </row>
        <row r="878">
          <cell r="S878">
            <v>60285</v>
          </cell>
          <cell r="T878">
            <v>21000</v>
          </cell>
          <cell r="U878">
            <v>0</v>
          </cell>
          <cell r="W878" t="str">
            <v>GQS</v>
          </cell>
          <cell r="Z878">
            <v>81285</v>
          </cell>
        </row>
        <row r="879">
          <cell r="S879">
            <v>43061</v>
          </cell>
          <cell r="T879">
            <v>21000</v>
          </cell>
          <cell r="U879">
            <v>0</v>
          </cell>
          <cell r="W879" t="str">
            <v>GQS</v>
          </cell>
          <cell r="Z879">
            <v>64061</v>
          </cell>
        </row>
        <row r="880">
          <cell r="S880">
            <v>43061</v>
          </cell>
          <cell r="T880">
            <v>4200</v>
          </cell>
          <cell r="U880">
            <v>0</v>
          </cell>
          <cell r="W880" t="str">
            <v>GQS</v>
          </cell>
          <cell r="Z880">
            <v>47261</v>
          </cell>
        </row>
        <row r="881">
          <cell r="S881">
            <v>68898</v>
          </cell>
          <cell r="T881">
            <v>60900</v>
          </cell>
          <cell r="U881">
            <v>0</v>
          </cell>
          <cell r="W881" t="str">
            <v>GQS</v>
          </cell>
          <cell r="Z881">
            <v>129798</v>
          </cell>
        </row>
        <row r="882">
          <cell r="S882">
            <v>86122</v>
          </cell>
          <cell r="T882">
            <v>29400</v>
          </cell>
          <cell r="U882">
            <v>969798</v>
          </cell>
          <cell r="W882" t="str">
            <v>GQS</v>
          </cell>
          <cell r="Z882">
            <v>1085320</v>
          </cell>
          <cell r="AB882" t="str">
            <v>PANEL</v>
          </cell>
        </row>
        <row r="883">
          <cell r="S883">
            <v>25837</v>
          </cell>
          <cell r="T883">
            <v>37800</v>
          </cell>
          <cell r="U883">
            <v>610637</v>
          </cell>
          <cell r="W883" t="str">
            <v>GQS</v>
          </cell>
          <cell r="Z883">
            <v>674274</v>
          </cell>
          <cell r="AB883" t="str">
            <v>MAIN_UNIT</v>
          </cell>
        </row>
        <row r="884">
          <cell r="S884">
            <v>43061</v>
          </cell>
          <cell r="T884">
            <v>21000</v>
          </cell>
          <cell r="U884">
            <v>299936</v>
          </cell>
          <cell r="W884" t="str">
            <v>GQS</v>
          </cell>
          <cell r="Z884">
            <v>363997</v>
          </cell>
          <cell r="AB884" t="str">
            <v>MAIN_UNIT</v>
          </cell>
        </row>
        <row r="885">
          <cell r="S885">
            <v>68898</v>
          </cell>
          <cell r="T885">
            <v>63000</v>
          </cell>
          <cell r="U885">
            <v>969798</v>
          </cell>
          <cell r="W885" t="str">
            <v>GQS</v>
          </cell>
          <cell r="Z885">
            <v>1101696</v>
          </cell>
          <cell r="AB885" t="str">
            <v>PANEL</v>
          </cell>
        </row>
        <row r="886">
          <cell r="S886">
            <v>25837</v>
          </cell>
          <cell r="T886">
            <v>46200</v>
          </cell>
          <cell r="U886">
            <v>0</v>
          </cell>
          <cell r="W886" t="str">
            <v>GQS</v>
          </cell>
          <cell r="Z886">
            <v>72037</v>
          </cell>
        </row>
        <row r="887">
          <cell r="S887">
            <v>43061</v>
          </cell>
          <cell r="T887">
            <v>4200</v>
          </cell>
          <cell r="U887">
            <v>0</v>
          </cell>
          <cell r="W887" t="str">
            <v>GQS</v>
          </cell>
          <cell r="Z887">
            <v>47261</v>
          </cell>
        </row>
        <row r="888">
          <cell r="S888">
            <v>43061</v>
          </cell>
          <cell r="T888">
            <v>4200</v>
          </cell>
          <cell r="U888">
            <v>0</v>
          </cell>
          <cell r="W888" t="str">
            <v>GQS</v>
          </cell>
          <cell r="Z888">
            <v>47261</v>
          </cell>
        </row>
        <row r="889">
          <cell r="S889">
            <v>43061</v>
          </cell>
          <cell r="T889">
            <v>37800</v>
          </cell>
          <cell r="U889">
            <v>102457</v>
          </cell>
          <cell r="W889" t="str">
            <v>GQS</v>
          </cell>
          <cell r="Z889">
            <v>183318</v>
          </cell>
          <cell r="AB889" t="str">
            <v>REMOTE_CONTROL</v>
          </cell>
        </row>
        <row r="890">
          <cell r="S890">
            <v>25837</v>
          </cell>
          <cell r="T890">
            <v>71400</v>
          </cell>
          <cell r="U890">
            <v>367125</v>
          </cell>
          <cell r="W890" t="str">
            <v>GQS</v>
          </cell>
          <cell r="Z890">
            <v>464362</v>
          </cell>
          <cell r="AB890" t="str">
            <v>PANEL</v>
          </cell>
        </row>
        <row r="891">
          <cell r="S891">
            <v>43061</v>
          </cell>
          <cell r="T891">
            <v>16800</v>
          </cell>
          <cell r="U891">
            <v>0</v>
          </cell>
          <cell r="W891" t="str">
            <v>GQS</v>
          </cell>
          <cell r="Z891">
            <v>59861</v>
          </cell>
        </row>
        <row r="892">
          <cell r="S892">
            <v>43061</v>
          </cell>
          <cell r="T892">
            <v>21000</v>
          </cell>
          <cell r="U892">
            <v>1053784</v>
          </cell>
          <cell r="W892" t="str">
            <v>GQS</v>
          </cell>
          <cell r="Z892">
            <v>1117845</v>
          </cell>
          <cell r="AB892" t="str">
            <v>MAIN_UNIT</v>
          </cell>
        </row>
        <row r="893">
          <cell r="S893">
            <v>8612</v>
          </cell>
          <cell r="T893">
            <v>0</v>
          </cell>
          <cell r="U893">
            <v>0</v>
          </cell>
          <cell r="W893" t="str">
            <v>GQS</v>
          </cell>
          <cell r="Z893">
            <v>8612</v>
          </cell>
        </row>
        <row r="894">
          <cell r="S894">
            <v>77510</v>
          </cell>
          <cell r="T894">
            <v>140700</v>
          </cell>
          <cell r="U894">
            <v>1</v>
          </cell>
          <cell r="W894" t="str">
            <v>GQS</v>
          </cell>
          <cell r="Z894">
            <v>218211</v>
          </cell>
          <cell r="AB894" t="str">
            <v>PANEL</v>
          </cell>
        </row>
        <row r="895">
          <cell r="S895">
            <v>86122</v>
          </cell>
          <cell r="T895">
            <v>18900</v>
          </cell>
          <cell r="U895">
            <v>316600</v>
          </cell>
          <cell r="W895" t="str">
            <v>GQS</v>
          </cell>
          <cell r="Z895">
            <v>421622</v>
          </cell>
          <cell r="AB895" t="str">
            <v>MAIN_UNIT</v>
          </cell>
        </row>
        <row r="896">
          <cell r="S896">
            <v>17224</v>
          </cell>
          <cell r="T896">
            <v>10500</v>
          </cell>
          <cell r="U896">
            <v>0</v>
          </cell>
          <cell r="W896" t="str">
            <v>GQS</v>
          </cell>
          <cell r="Z896">
            <v>27724</v>
          </cell>
        </row>
        <row r="897">
          <cell r="S897">
            <v>51673</v>
          </cell>
          <cell r="T897">
            <v>37800</v>
          </cell>
          <cell r="U897">
            <v>297604</v>
          </cell>
          <cell r="W897" t="str">
            <v>GQS</v>
          </cell>
          <cell r="Z897">
            <v>387077</v>
          </cell>
          <cell r="AB897" t="str">
            <v>MAIN_UNIT</v>
          </cell>
        </row>
        <row r="898">
          <cell r="S898">
            <v>94734</v>
          </cell>
          <cell r="T898">
            <v>21000</v>
          </cell>
          <cell r="U898">
            <v>969798</v>
          </cell>
          <cell r="W898" t="str">
            <v>GQS</v>
          </cell>
          <cell r="Z898">
            <v>1085532</v>
          </cell>
          <cell r="AB898" t="str">
            <v>PANEL</v>
          </cell>
        </row>
        <row r="899">
          <cell r="S899">
            <v>86122</v>
          </cell>
          <cell r="T899">
            <v>25200</v>
          </cell>
          <cell r="U899">
            <v>0</v>
          </cell>
          <cell r="W899" t="str">
            <v>GQS</v>
          </cell>
          <cell r="Z899">
            <v>111322</v>
          </cell>
        </row>
        <row r="900">
          <cell r="S900">
            <v>25837</v>
          </cell>
          <cell r="T900">
            <v>21000</v>
          </cell>
          <cell r="U900">
            <v>0</v>
          </cell>
          <cell r="W900" t="str">
            <v>GQS</v>
          </cell>
          <cell r="Z900">
            <v>46837</v>
          </cell>
        </row>
        <row r="901">
          <cell r="S901">
            <v>34449</v>
          </cell>
          <cell r="T901">
            <v>105000</v>
          </cell>
          <cell r="U901">
            <v>297604</v>
          </cell>
          <cell r="W901" t="str">
            <v>GQS</v>
          </cell>
          <cell r="Z901">
            <v>437053</v>
          </cell>
          <cell r="AB901" t="str">
            <v>MAIN_UNIT</v>
          </cell>
        </row>
        <row r="902">
          <cell r="S902">
            <v>34449</v>
          </cell>
          <cell r="T902">
            <v>50400</v>
          </cell>
          <cell r="U902">
            <v>569380</v>
          </cell>
          <cell r="W902" t="str">
            <v>GQS</v>
          </cell>
          <cell r="Z902">
            <v>654229</v>
          </cell>
          <cell r="AB902" t="str">
            <v>PANEL</v>
          </cell>
        </row>
        <row r="903">
          <cell r="S903">
            <v>17224</v>
          </cell>
          <cell r="T903">
            <v>10500</v>
          </cell>
          <cell r="U903">
            <v>0</v>
          </cell>
          <cell r="W903" t="str">
            <v>GQS</v>
          </cell>
          <cell r="Z903">
            <v>27724</v>
          </cell>
        </row>
        <row r="904">
          <cell r="S904">
            <v>8612</v>
          </cell>
          <cell r="T904">
            <v>8400</v>
          </cell>
          <cell r="U904">
            <v>297603</v>
          </cell>
          <cell r="W904" t="str">
            <v>GQS</v>
          </cell>
          <cell r="Z904">
            <v>314615</v>
          </cell>
          <cell r="AB904" t="str">
            <v>MAIN_UNIT</v>
          </cell>
        </row>
        <row r="905">
          <cell r="S905">
            <v>86122</v>
          </cell>
          <cell r="T905">
            <v>31500</v>
          </cell>
          <cell r="U905">
            <v>19470</v>
          </cell>
          <cell r="W905" t="str">
            <v>GQS</v>
          </cell>
          <cell r="Z905">
            <v>137092</v>
          </cell>
          <cell r="AB905" t="str">
            <v>SPEAKER</v>
          </cell>
        </row>
        <row r="906">
          <cell r="S906">
            <v>43061</v>
          </cell>
          <cell r="T906">
            <v>42000</v>
          </cell>
          <cell r="U906">
            <v>297604</v>
          </cell>
          <cell r="W906" t="str">
            <v>GQS</v>
          </cell>
          <cell r="Z906">
            <v>382665</v>
          </cell>
          <cell r="AB906" t="str">
            <v>MAIN_UNIT</v>
          </cell>
        </row>
        <row r="907">
          <cell r="S907">
            <v>25837</v>
          </cell>
          <cell r="T907">
            <v>10500</v>
          </cell>
          <cell r="U907">
            <v>0</v>
          </cell>
          <cell r="W907" t="str">
            <v>GQS</v>
          </cell>
          <cell r="Z907">
            <v>36337</v>
          </cell>
        </row>
        <row r="908">
          <cell r="S908">
            <v>51673</v>
          </cell>
          <cell r="T908">
            <v>252000</v>
          </cell>
          <cell r="U908">
            <v>0</v>
          </cell>
          <cell r="W908" t="str">
            <v>GQS</v>
          </cell>
          <cell r="Z908">
            <v>303673</v>
          </cell>
        </row>
        <row r="909">
          <cell r="S909">
            <v>51673</v>
          </cell>
          <cell r="T909">
            <v>252000</v>
          </cell>
          <cell r="U909">
            <v>0</v>
          </cell>
          <cell r="W909" t="str">
            <v>GQS</v>
          </cell>
          <cell r="Z909">
            <v>303673</v>
          </cell>
        </row>
        <row r="910">
          <cell r="S910">
            <v>25837</v>
          </cell>
          <cell r="T910">
            <v>79800</v>
          </cell>
          <cell r="U910">
            <v>569380</v>
          </cell>
          <cell r="W910" t="str">
            <v>GQS</v>
          </cell>
          <cell r="Z910">
            <v>675017</v>
          </cell>
          <cell r="AB910" t="str">
            <v>PANEL</v>
          </cell>
        </row>
        <row r="911">
          <cell r="S911">
            <v>34449</v>
          </cell>
          <cell r="T911">
            <v>42000</v>
          </cell>
          <cell r="U911">
            <v>0</v>
          </cell>
          <cell r="W911" t="str">
            <v>GQS</v>
          </cell>
          <cell r="Z911">
            <v>76449</v>
          </cell>
        </row>
        <row r="912">
          <cell r="S912">
            <v>0</v>
          </cell>
          <cell r="T912">
            <v>0</v>
          </cell>
          <cell r="U912">
            <v>0</v>
          </cell>
          <cell r="W912" t="str">
            <v>GQS</v>
          </cell>
          <cell r="Z912">
            <v>0</v>
          </cell>
          <cell r="AB912" t="str">
            <v>REMOTE_CONTROL</v>
          </cell>
        </row>
        <row r="913">
          <cell r="S913">
            <v>17224</v>
          </cell>
          <cell r="T913">
            <v>4200</v>
          </cell>
          <cell r="U913">
            <v>310073</v>
          </cell>
          <cell r="W913" t="str">
            <v>GQS</v>
          </cell>
          <cell r="Z913">
            <v>331497</v>
          </cell>
          <cell r="AB913" t="str">
            <v>MAIN_UNIT</v>
          </cell>
        </row>
        <row r="914">
          <cell r="S914">
            <v>17224</v>
          </cell>
          <cell r="T914">
            <v>130200</v>
          </cell>
          <cell r="U914">
            <v>610638</v>
          </cell>
          <cell r="W914" t="str">
            <v>GQS</v>
          </cell>
          <cell r="Z914">
            <v>758062</v>
          </cell>
          <cell r="AB914" t="str">
            <v>MAIN_UNIT</v>
          </cell>
        </row>
        <row r="915">
          <cell r="S915">
            <v>25837</v>
          </cell>
          <cell r="T915">
            <v>84000</v>
          </cell>
          <cell r="U915">
            <v>297603</v>
          </cell>
          <cell r="W915" t="str">
            <v>GQS</v>
          </cell>
          <cell r="Z915">
            <v>407440</v>
          </cell>
          <cell r="AB915" t="str">
            <v>MAIN_UNIT</v>
          </cell>
        </row>
        <row r="916">
          <cell r="S916">
            <v>86122</v>
          </cell>
          <cell r="T916">
            <v>21000</v>
          </cell>
          <cell r="U916">
            <v>1316727</v>
          </cell>
          <cell r="W916" t="str">
            <v>GQS</v>
          </cell>
          <cell r="Z916">
            <v>1423849</v>
          </cell>
          <cell r="AB916" t="str">
            <v>PANEL</v>
          </cell>
        </row>
        <row r="917">
          <cell r="S917">
            <v>0</v>
          </cell>
          <cell r="T917">
            <v>0</v>
          </cell>
          <cell r="U917">
            <v>0</v>
          </cell>
          <cell r="W917" t="str">
            <v>GQS</v>
          </cell>
          <cell r="Z917">
            <v>0</v>
          </cell>
          <cell r="AB917" t="str">
            <v>MAIN_UNIT</v>
          </cell>
        </row>
        <row r="918">
          <cell r="S918">
            <v>17224</v>
          </cell>
          <cell r="T918">
            <v>10500</v>
          </cell>
          <cell r="U918">
            <v>0</v>
          </cell>
          <cell r="W918" t="str">
            <v>GQS</v>
          </cell>
          <cell r="Z918">
            <v>27724</v>
          </cell>
        </row>
        <row r="919">
          <cell r="S919">
            <v>51673</v>
          </cell>
          <cell r="T919">
            <v>157500</v>
          </cell>
          <cell r="U919">
            <v>0</v>
          </cell>
          <cell r="W919" t="str">
            <v>GQS</v>
          </cell>
          <cell r="Z919">
            <v>209173</v>
          </cell>
        </row>
        <row r="920">
          <cell r="S920">
            <v>43061</v>
          </cell>
          <cell r="T920">
            <v>18900</v>
          </cell>
          <cell r="U920">
            <v>0</v>
          </cell>
          <cell r="W920" t="str">
            <v>GQS</v>
          </cell>
          <cell r="Z920">
            <v>61961</v>
          </cell>
        </row>
        <row r="921">
          <cell r="S921">
            <v>25837</v>
          </cell>
          <cell r="T921">
            <v>21000</v>
          </cell>
          <cell r="U921">
            <v>0</v>
          </cell>
          <cell r="W921" t="str">
            <v>GQS</v>
          </cell>
          <cell r="Z921">
            <v>46837</v>
          </cell>
        </row>
        <row r="922">
          <cell r="S922">
            <v>43061</v>
          </cell>
          <cell r="T922">
            <v>21000</v>
          </cell>
          <cell r="U922">
            <v>0</v>
          </cell>
          <cell r="W922" t="str">
            <v>GQS</v>
          </cell>
          <cell r="Z922">
            <v>64061</v>
          </cell>
        </row>
        <row r="923">
          <cell r="S923">
            <v>68898</v>
          </cell>
          <cell r="T923">
            <v>126000</v>
          </cell>
          <cell r="U923">
            <v>635319</v>
          </cell>
          <cell r="W923" t="str">
            <v>GQS</v>
          </cell>
          <cell r="Z923">
            <v>830217</v>
          </cell>
          <cell r="AB923" t="str">
            <v>PANEL</v>
          </cell>
        </row>
        <row r="924">
          <cell r="S924">
            <v>43061</v>
          </cell>
          <cell r="T924">
            <v>50400</v>
          </cell>
          <cell r="U924">
            <v>0</v>
          </cell>
          <cell r="W924" t="str">
            <v>GQS</v>
          </cell>
          <cell r="Z924">
            <v>93461</v>
          </cell>
        </row>
        <row r="925">
          <cell r="S925">
            <v>51673</v>
          </cell>
          <cell r="T925">
            <v>6300</v>
          </cell>
          <cell r="U925">
            <v>969798</v>
          </cell>
          <cell r="W925" t="str">
            <v>GQS</v>
          </cell>
          <cell r="Z925">
            <v>1027771</v>
          </cell>
          <cell r="AB925" t="str">
            <v>PANEL</v>
          </cell>
        </row>
        <row r="926">
          <cell r="S926">
            <v>43061</v>
          </cell>
          <cell r="T926">
            <v>25200</v>
          </cell>
          <cell r="U926">
            <v>325972</v>
          </cell>
          <cell r="W926" t="str">
            <v>GQS</v>
          </cell>
          <cell r="Z926">
            <v>394233</v>
          </cell>
          <cell r="AB926" t="str">
            <v>MAIN_UNIT</v>
          </cell>
        </row>
        <row r="927">
          <cell r="S927">
            <v>25837</v>
          </cell>
          <cell r="T927">
            <v>10500</v>
          </cell>
          <cell r="U927">
            <v>0</v>
          </cell>
          <cell r="W927" t="str">
            <v>GQS</v>
          </cell>
          <cell r="Z927">
            <v>36337</v>
          </cell>
        </row>
        <row r="928">
          <cell r="S928">
            <v>8612</v>
          </cell>
          <cell r="T928">
            <v>0</v>
          </cell>
          <cell r="U928">
            <v>0</v>
          </cell>
          <cell r="W928" t="str">
            <v>GQS</v>
          </cell>
          <cell r="Z928">
            <v>8612</v>
          </cell>
        </row>
        <row r="929">
          <cell r="S929">
            <v>8612</v>
          </cell>
          <cell r="T929">
            <v>0</v>
          </cell>
          <cell r="U929">
            <v>0</v>
          </cell>
          <cell r="W929" t="str">
            <v>GQS</v>
          </cell>
          <cell r="Z929">
            <v>8612</v>
          </cell>
        </row>
        <row r="930">
          <cell r="S930">
            <v>25837</v>
          </cell>
          <cell r="T930">
            <v>14700</v>
          </cell>
          <cell r="U930">
            <v>0</v>
          </cell>
          <cell r="W930" t="str">
            <v>GQS</v>
          </cell>
          <cell r="Z930">
            <v>40537</v>
          </cell>
        </row>
        <row r="931">
          <cell r="S931">
            <v>17224</v>
          </cell>
          <cell r="T931">
            <v>12600</v>
          </cell>
          <cell r="U931">
            <v>0</v>
          </cell>
          <cell r="W931" t="str">
            <v>GQS</v>
          </cell>
          <cell r="Z931">
            <v>29824</v>
          </cell>
        </row>
        <row r="932">
          <cell r="S932">
            <v>86122</v>
          </cell>
          <cell r="T932">
            <v>4200</v>
          </cell>
          <cell r="U932">
            <v>299936</v>
          </cell>
          <cell r="W932" t="str">
            <v>GQS</v>
          </cell>
          <cell r="Z932">
            <v>390258</v>
          </cell>
          <cell r="AB932" t="str">
            <v>MAIN_UNIT</v>
          </cell>
        </row>
        <row r="933">
          <cell r="S933">
            <v>8612</v>
          </cell>
          <cell r="T933">
            <v>21000</v>
          </cell>
          <cell r="U933">
            <v>0</v>
          </cell>
          <cell r="W933" t="str">
            <v>GQS</v>
          </cell>
          <cell r="Z933">
            <v>29612</v>
          </cell>
        </row>
        <row r="934">
          <cell r="S934">
            <v>8612</v>
          </cell>
          <cell r="T934">
            <v>130200</v>
          </cell>
          <cell r="U934">
            <v>0</v>
          </cell>
          <cell r="W934" t="str">
            <v>GQS</v>
          </cell>
          <cell r="Z934">
            <v>138812</v>
          </cell>
        </row>
        <row r="935">
          <cell r="S935">
            <v>51673</v>
          </cell>
          <cell r="T935">
            <v>2100</v>
          </cell>
          <cell r="U935">
            <v>0</v>
          </cell>
          <cell r="W935" t="str">
            <v>GQS</v>
          </cell>
          <cell r="Z935">
            <v>53773</v>
          </cell>
        </row>
        <row r="936">
          <cell r="S936">
            <v>25837</v>
          </cell>
          <cell r="T936">
            <v>21000</v>
          </cell>
          <cell r="U936">
            <v>0</v>
          </cell>
          <cell r="W936" t="str">
            <v>GQS</v>
          </cell>
          <cell r="Z936">
            <v>46837</v>
          </cell>
        </row>
        <row r="937">
          <cell r="S937">
            <v>25837</v>
          </cell>
          <cell r="T937">
            <v>31500</v>
          </cell>
          <cell r="U937">
            <v>969798</v>
          </cell>
          <cell r="W937" t="str">
            <v>GQS</v>
          </cell>
          <cell r="Z937">
            <v>1027135</v>
          </cell>
          <cell r="AB937" t="str">
            <v>PANEL</v>
          </cell>
        </row>
        <row r="938">
          <cell r="S938">
            <v>17224</v>
          </cell>
          <cell r="T938">
            <v>8400</v>
          </cell>
          <cell r="U938">
            <v>0</v>
          </cell>
          <cell r="W938" t="str">
            <v>GQS</v>
          </cell>
          <cell r="Z938">
            <v>25624</v>
          </cell>
        </row>
        <row r="939">
          <cell r="S939">
            <v>43061</v>
          </cell>
          <cell r="T939">
            <v>25200</v>
          </cell>
          <cell r="U939">
            <v>297603</v>
          </cell>
          <cell r="W939" t="str">
            <v>GQS</v>
          </cell>
          <cell r="Z939">
            <v>365864</v>
          </cell>
          <cell r="AB939" t="str">
            <v>MAIN_UNIT</v>
          </cell>
        </row>
        <row r="940">
          <cell r="S940">
            <v>43061</v>
          </cell>
          <cell r="T940">
            <v>210000</v>
          </cell>
          <cell r="U940">
            <v>0</v>
          </cell>
          <cell r="W940" t="str">
            <v>GQS</v>
          </cell>
          <cell r="Z940">
            <v>253061</v>
          </cell>
        </row>
        <row r="941">
          <cell r="S941">
            <v>8612</v>
          </cell>
          <cell r="T941">
            <v>0</v>
          </cell>
          <cell r="U941">
            <v>0</v>
          </cell>
          <cell r="W941" t="str">
            <v>GQS</v>
          </cell>
          <cell r="Z941">
            <v>8612</v>
          </cell>
        </row>
        <row r="942">
          <cell r="S942">
            <v>8612</v>
          </cell>
          <cell r="T942">
            <v>0</v>
          </cell>
          <cell r="U942">
            <v>0</v>
          </cell>
          <cell r="W942" t="str">
            <v>GQS</v>
          </cell>
          <cell r="Z942">
            <v>8612</v>
          </cell>
        </row>
        <row r="943">
          <cell r="S943">
            <v>0</v>
          </cell>
          <cell r="T943">
            <v>0</v>
          </cell>
          <cell r="U943">
            <v>0</v>
          </cell>
          <cell r="W943" t="str">
            <v>GQS</v>
          </cell>
          <cell r="Z943">
            <v>0</v>
          </cell>
          <cell r="AB943" t="str">
            <v>LED_BAR</v>
          </cell>
        </row>
        <row r="944">
          <cell r="S944">
            <v>0</v>
          </cell>
          <cell r="T944">
            <v>0</v>
          </cell>
          <cell r="U944">
            <v>0</v>
          </cell>
          <cell r="W944" t="str">
            <v>GQS</v>
          </cell>
          <cell r="Z944">
            <v>0</v>
          </cell>
          <cell r="AB944" t="str">
            <v>MAIN_UNIT</v>
          </cell>
        </row>
        <row r="945">
          <cell r="S945">
            <v>43061</v>
          </cell>
          <cell r="T945">
            <v>0</v>
          </cell>
          <cell r="U945">
            <v>648406</v>
          </cell>
          <cell r="W945" t="str">
            <v>GQS</v>
          </cell>
          <cell r="Z945">
            <v>691467</v>
          </cell>
          <cell r="AB945" t="str">
            <v>PANEL</v>
          </cell>
        </row>
        <row r="946">
          <cell r="S946">
            <v>43061</v>
          </cell>
          <cell r="T946">
            <v>0</v>
          </cell>
          <cell r="U946">
            <v>522996</v>
          </cell>
          <cell r="W946" t="str">
            <v>GQS</v>
          </cell>
          <cell r="Z946">
            <v>566057</v>
          </cell>
          <cell r="AB946" t="str">
            <v>PANEL</v>
          </cell>
        </row>
        <row r="947">
          <cell r="S947">
            <v>0</v>
          </cell>
          <cell r="T947">
            <v>0</v>
          </cell>
          <cell r="U947">
            <v>0</v>
          </cell>
          <cell r="W947" t="str">
            <v>GQS</v>
          </cell>
          <cell r="Z947">
            <v>0</v>
          </cell>
          <cell r="AB947" t="str">
            <v>LED_BAR</v>
          </cell>
        </row>
        <row r="948">
          <cell r="S948">
            <v>43061</v>
          </cell>
          <cell r="T948">
            <v>0</v>
          </cell>
          <cell r="U948">
            <v>42442</v>
          </cell>
          <cell r="W948" t="str">
            <v>GQS</v>
          </cell>
          <cell r="Z948">
            <v>85503</v>
          </cell>
          <cell r="AB948" t="str">
            <v>PANEL</v>
          </cell>
        </row>
        <row r="949">
          <cell r="S949">
            <v>43061</v>
          </cell>
          <cell r="T949">
            <v>0</v>
          </cell>
          <cell r="U949">
            <v>610637</v>
          </cell>
          <cell r="W949" t="str">
            <v>GQS</v>
          </cell>
          <cell r="Z949">
            <v>653698</v>
          </cell>
          <cell r="AB949" t="str">
            <v>MAIN_UNIT</v>
          </cell>
        </row>
        <row r="950">
          <cell r="S950">
            <v>43061</v>
          </cell>
          <cell r="T950">
            <v>0</v>
          </cell>
          <cell r="U950">
            <v>522997</v>
          </cell>
          <cell r="W950" t="str">
            <v>GQS</v>
          </cell>
          <cell r="Z950">
            <v>566058</v>
          </cell>
          <cell r="AB950" t="str">
            <v>PANEL</v>
          </cell>
        </row>
        <row r="951">
          <cell r="S951">
            <v>86122</v>
          </cell>
          <cell r="T951">
            <v>0</v>
          </cell>
          <cell r="U951">
            <v>349124</v>
          </cell>
          <cell r="W951" t="str">
            <v>GQS</v>
          </cell>
          <cell r="Z951">
            <v>435246</v>
          </cell>
          <cell r="AB951" t="str">
            <v>PANEL</v>
          </cell>
        </row>
        <row r="952">
          <cell r="S952">
            <v>0</v>
          </cell>
          <cell r="T952">
            <v>0</v>
          </cell>
          <cell r="U952">
            <v>0</v>
          </cell>
          <cell r="W952" t="str">
            <v>GQS</v>
          </cell>
          <cell r="Z952">
            <v>0</v>
          </cell>
          <cell r="AB952" t="str">
            <v>PANEL</v>
          </cell>
        </row>
        <row r="953">
          <cell r="S953">
            <v>0</v>
          </cell>
          <cell r="T953">
            <v>0</v>
          </cell>
          <cell r="U953">
            <v>0</v>
          </cell>
          <cell r="W953" t="str">
            <v>GQS</v>
          </cell>
          <cell r="Z953">
            <v>0</v>
          </cell>
          <cell r="AB953" t="str">
            <v>TAPE</v>
          </cell>
        </row>
        <row r="954">
          <cell r="S954">
            <v>43061</v>
          </cell>
          <cell r="T954">
            <v>0</v>
          </cell>
          <cell r="U954">
            <v>685752</v>
          </cell>
          <cell r="W954" t="str">
            <v>GQS</v>
          </cell>
          <cell r="Z954">
            <v>728813</v>
          </cell>
          <cell r="AB954" t="str">
            <v>PANEL</v>
          </cell>
        </row>
        <row r="955">
          <cell r="S955">
            <v>43061</v>
          </cell>
          <cell r="T955">
            <v>0</v>
          </cell>
          <cell r="U955">
            <v>0</v>
          </cell>
          <cell r="W955" t="str">
            <v>GQS</v>
          </cell>
          <cell r="Z955">
            <v>43061</v>
          </cell>
        </row>
        <row r="956">
          <cell r="S956">
            <v>25837</v>
          </cell>
          <cell r="T956">
            <v>0</v>
          </cell>
          <cell r="U956">
            <v>554476</v>
          </cell>
          <cell r="W956" t="str">
            <v>GQS</v>
          </cell>
          <cell r="Z956">
            <v>580313</v>
          </cell>
          <cell r="AB956" t="str">
            <v>MAIN_UNIT</v>
          </cell>
        </row>
        <row r="957">
          <cell r="S957">
            <v>43061</v>
          </cell>
          <cell r="T957">
            <v>0</v>
          </cell>
          <cell r="U957">
            <v>819992</v>
          </cell>
          <cell r="W957" t="str">
            <v>GQS</v>
          </cell>
          <cell r="Z957">
            <v>863053</v>
          </cell>
          <cell r="AB957" t="str">
            <v>PANEL</v>
          </cell>
        </row>
        <row r="958">
          <cell r="S958">
            <v>43061</v>
          </cell>
          <cell r="T958">
            <v>0</v>
          </cell>
          <cell r="U958">
            <v>204082</v>
          </cell>
          <cell r="W958" t="str">
            <v>GQS</v>
          </cell>
          <cell r="Z958">
            <v>247143</v>
          </cell>
          <cell r="AB958" t="str">
            <v>MAIN_UNIT</v>
          </cell>
        </row>
        <row r="959">
          <cell r="S959">
            <v>0</v>
          </cell>
          <cell r="T959">
            <v>0</v>
          </cell>
          <cell r="U959">
            <v>0</v>
          </cell>
          <cell r="W959" t="str">
            <v>GQS</v>
          </cell>
          <cell r="Z959">
            <v>0</v>
          </cell>
          <cell r="AB959" t="str">
            <v>TAPE</v>
          </cell>
        </row>
        <row r="960">
          <cell r="S960">
            <v>43061</v>
          </cell>
          <cell r="T960">
            <v>0</v>
          </cell>
          <cell r="U960">
            <v>617876</v>
          </cell>
          <cell r="W960" t="str">
            <v>GQS</v>
          </cell>
          <cell r="Z960">
            <v>660937</v>
          </cell>
          <cell r="AB960" t="str">
            <v>PANEL</v>
          </cell>
        </row>
        <row r="961">
          <cell r="S961">
            <v>43061</v>
          </cell>
          <cell r="T961">
            <v>0</v>
          </cell>
          <cell r="U961">
            <v>819992</v>
          </cell>
          <cell r="W961" t="str">
            <v>GQS</v>
          </cell>
          <cell r="Z961">
            <v>863053</v>
          </cell>
          <cell r="AB961" t="str">
            <v>PANEL</v>
          </cell>
        </row>
        <row r="962">
          <cell r="S962">
            <v>8612</v>
          </cell>
          <cell r="T962">
            <v>0</v>
          </cell>
          <cell r="U962">
            <v>311150</v>
          </cell>
          <cell r="W962" t="str">
            <v>GQS</v>
          </cell>
          <cell r="Z962">
            <v>319762</v>
          </cell>
          <cell r="AB962" t="str">
            <v>POWER_UNIT</v>
          </cell>
        </row>
        <row r="963">
          <cell r="S963">
            <v>43061</v>
          </cell>
          <cell r="T963">
            <v>0</v>
          </cell>
          <cell r="U963">
            <v>1818524</v>
          </cell>
          <cell r="W963" t="str">
            <v>GQS</v>
          </cell>
          <cell r="Z963">
            <v>1861585</v>
          </cell>
          <cell r="AB963" t="str">
            <v>PANEL</v>
          </cell>
        </row>
        <row r="964">
          <cell r="S964">
            <v>0</v>
          </cell>
          <cell r="T964">
            <v>0</v>
          </cell>
          <cell r="U964">
            <v>0</v>
          </cell>
          <cell r="W964" t="str">
            <v>GQS</v>
          </cell>
          <cell r="Z964">
            <v>0</v>
          </cell>
          <cell r="AB964" t="str">
            <v>LVDS_WIRE</v>
          </cell>
        </row>
        <row r="965">
          <cell r="S965">
            <v>0</v>
          </cell>
          <cell r="T965">
            <v>0</v>
          </cell>
          <cell r="U965">
            <v>0</v>
          </cell>
          <cell r="W965" t="str">
            <v>GQS</v>
          </cell>
          <cell r="Z965">
            <v>0</v>
          </cell>
          <cell r="AB965" t="str">
            <v>PART_KIT</v>
          </cell>
        </row>
        <row r="966">
          <cell r="S966">
            <v>0</v>
          </cell>
          <cell r="T966">
            <v>0</v>
          </cell>
          <cell r="U966">
            <v>0</v>
          </cell>
          <cell r="W966" t="str">
            <v>GQS</v>
          </cell>
          <cell r="Z966">
            <v>0</v>
          </cell>
          <cell r="AB966" t="str">
            <v>TCON_UNIT</v>
          </cell>
        </row>
        <row r="967">
          <cell r="S967">
            <v>86122</v>
          </cell>
          <cell r="T967">
            <v>0</v>
          </cell>
          <cell r="U967">
            <v>1373768</v>
          </cell>
          <cell r="W967" t="str">
            <v>GQS</v>
          </cell>
          <cell r="Z967">
            <v>1459890</v>
          </cell>
          <cell r="AB967" t="str">
            <v>PANEL</v>
          </cell>
        </row>
        <row r="968">
          <cell r="S968">
            <v>25837</v>
          </cell>
          <cell r="T968">
            <v>0</v>
          </cell>
          <cell r="U968">
            <v>819992</v>
          </cell>
          <cell r="W968" t="str">
            <v>GQS</v>
          </cell>
          <cell r="Z968">
            <v>845829</v>
          </cell>
          <cell r="AB968" t="str">
            <v>PANEL</v>
          </cell>
        </row>
        <row r="969">
          <cell r="S969">
            <v>25837</v>
          </cell>
          <cell r="T969">
            <v>0</v>
          </cell>
          <cell r="U969">
            <v>554475</v>
          </cell>
          <cell r="W969" t="str">
            <v>GQS</v>
          </cell>
          <cell r="Z969">
            <v>580312</v>
          </cell>
          <cell r="AB969" t="str">
            <v>MAIN_UNIT</v>
          </cell>
        </row>
        <row r="970">
          <cell r="S970">
            <v>34449</v>
          </cell>
          <cell r="T970">
            <v>0</v>
          </cell>
          <cell r="U970">
            <v>60000</v>
          </cell>
          <cell r="W970" t="str">
            <v>GQS</v>
          </cell>
          <cell r="Z970">
            <v>94449</v>
          </cell>
          <cell r="AB970" t="str">
            <v>LED_BAR</v>
          </cell>
        </row>
        <row r="971">
          <cell r="S971">
            <v>0</v>
          </cell>
          <cell r="T971">
            <v>0</v>
          </cell>
          <cell r="U971">
            <v>0</v>
          </cell>
          <cell r="W971" t="str">
            <v>GQS</v>
          </cell>
          <cell r="Z971">
            <v>0</v>
          </cell>
          <cell r="AB971" t="str">
            <v>LVDS_WIRE</v>
          </cell>
        </row>
        <row r="972">
          <cell r="S972">
            <v>0</v>
          </cell>
          <cell r="T972">
            <v>0</v>
          </cell>
          <cell r="U972">
            <v>0</v>
          </cell>
          <cell r="W972" t="str">
            <v>GQS</v>
          </cell>
          <cell r="Z972">
            <v>0</v>
          </cell>
          <cell r="AB972" t="str">
            <v>PART_KIT</v>
          </cell>
        </row>
        <row r="973">
          <cell r="S973">
            <v>0</v>
          </cell>
          <cell r="T973">
            <v>0</v>
          </cell>
          <cell r="U973">
            <v>0</v>
          </cell>
          <cell r="W973" t="str">
            <v>GQS</v>
          </cell>
          <cell r="Z973">
            <v>0</v>
          </cell>
          <cell r="AB973" t="str">
            <v>TCON_UNIT</v>
          </cell>
        </row>
        <row r="974">
          <cell r="S974">
            <v>43061</v>
          </cell>
          <cell r="T974">
            <v>0</v>
          </cell>
          <cell r="U974">
            <v>1820477</v>
          </cell>
          <cell r="W974" t="str">
            <v>GQS</v>
          </cell>
          <cell r="Z974">
            <v>1863538</v>
          </cell>
          <cell r="AB974" t="str">
            <v>PANEL</v>
          </cell>
        </row>
        <row r="975">
          <cell r="S975">
            <v>0</v>
          </cell>
          <cell r="T975">
            <v>0</v>
          </cell>
          <cell r="U975">
            <v>0</v>
          </cell>
          <cell r="W975" t="str">
            <v>GQS</v>
          </cell>
          <cell r="Z975">
            <v>0</v>
          </cell>
          <cell r="AB975" t="str">
            <v>LED_BAR</v>
          </cell>
        </row>
        <row r="976">
          <cell r="S976">
            <v>43061</v>
          </cell>
          <cell r="T976">
            <v>0</v>
          </cell>
          <cell r="U976">
            <v>1079798</v>
          </cell>
          <cell r="W976" t="str">
            <v>GQS</v>
          </cell>
          <cell r="Z976">
            <v>1122859</v>
          </cell>
          <cell r="AB976" t="str">
            <v>PANEL</v>
          </cell>
        </row>
        <row r="977">
          <cell r="S977">
            <v>0</v>
          </cell>
          <cell r="T977">
            <v>0</v>
          </cell>
          <cell r="U977">
            <v>0</v>
          </cell>
          <cell r="W977" t="str">
            <v>GQS</v>
          </cell>
          <cell r="Z977">
            <v>0</v>
          </cell>
          <cell r="AB977" t="str">
            <v>LVDS_WIRE</v>
          </cell>
        </row>
        <row r="978">
          <cell r="S978">
            <v>0</v>
          </cell>
          <cell r="T978">
            <v>0</v>
          </cell>
          <cell r="U978">
            <v>0</v>
          </cell>
          <cell r="W978" t="str">
            <v>GQS</v>
          </cell>
          <cell r="Z978">
            <v>0</v>
          </cell>
          <cell r="AB978" t="str">
            <v>TCON_UNIT</v>
          </cell>
        </row>
        <row r="979">
          <cell r="S979">
            <v>86122</v>
          </cell>
          <cell r="T979">
            <v>0</v>
          </cell>
          <cell r="U979">
            <v>1820478</v>
          </cell>
          <cell r="W979" t="str">
            <v>GQS</v>
          </cell>
          <cell r="Z979">
            <v>1906600</v>
          </cell>
          <cell r="AB979" t="str">
            <v>PANEL</v>
          </cell>
        </row>
        <row r="980">
          <cell r="S980">
            <v>0</v>
          </cell>
          <cell r="T980">
            <v>0</v>
          </cell>
          <cell r="U980">
            <v>0</v>
          </cell>
          <cell r="W980" t="str">
            <v>GQS</v>
          </cell>
          <cell r="Z980">
            <v>0</v>
          </cell>
          <cell r="AB980" t="str">
            <v>PART_KIT</v>
          </cell>
        </row>
        <row r="981">
          <cell r="S981">
            <v>25837</v>
          </cell>
          <cell r="T981">
            <v>0</v>
          </cell>
          <cell r="U981">
            <v>554476</v>
          </cell>
          <cell r="W981" t="str">
            <v>GQS</v>
          </cell>
          <cell r="Z981">
            <v>580313</v>
          </cell>
          <cell r="AB981" t="str">
            <v>MAIN_UNIT</v>
          </cell>
        </row>
        <row r="982">
          <cell r="S982">
            <v>0</v>
          </cell>
          <cell r="T982">
            <v>0</v>
          </cell>
          <cell r="U982">
            <v>0</v>
          </cell>
          <cell r="W982" t="str">
            <v>GQS</v>
          </cell>
          <cell r="Z982">
            <v>0</v>
          </cell>
          <cell r="AB982" t="str">
            <v>TAPE</v>
          </cell>
        </row>
        <row r="983">
          <cell r="S983">
            <v>25837</v>
          </cell>
          <cell r="T983">
            <v>0</v>
          </cell>
          <cell r="U983">
            <v>1594833</v>
          </cell>
          <cell r="W983" t="str">
            <v>GQS</v>
          </cell>
          <cell r="Z983">
            <v>1620670</v>
          </cell>
          <cell r="AB983" t="str">
            <v>PANEL</v>
          </cell>
        </row>
        <row r="984">
          <cell r="S984">
            <v>0</v>
          </cell>
          <cell r="T984">
            <v>0</v>
          </cell>
          <cell r="U984">
            <v>0</v>
          </cell>
          <cell r="W984" t="str">
            <v>GQS</v>
          </cell>
          <cell r="Z984">
            <v>0</v>
          </cell>
          <cell r="AB984" t="str">
            <v>TAPE</v>
          </cell>
        </row>
        <row r="985">
          <cell r="S985">
            <v>25837</v>
          </cell>
          <cell r="T985">
            <v>0</v>
          </cell>
          <cell r="U985">
            <v>639466</v>
          </cell>
          <cell r="W985" t="str">
            <v>GQS</v>
          </cell>
          <cell r="Z985">
            <v>665303</v>
          </cell>
          <cell r="AB985" t="str">
            <v>PANEL</v>
          </cell>
        </row>
        <row r="986">
          <cell r="S986">
            <v>43061</v>
          </cell>
          <cell r="T986">
            <v>0</v>
          </cell>
          <cell r="U986">
            <v>610637</v>
          </cell>
          <cell r="W986" t="str">
            <v>GQS</v>
          </cell>
          <cell r="Z986">
            <v>653698</v>
          </cell>
          <cell r="AB986" t="str">
            <v>MAIN_UNIT</v>
          </cell>
        </row>
        <row r="987">
          <cell r="S987">
            <v>43061</v>
          </cell>
          <cell r="T987">
            <v>0</v>
          </cell>
          <cell r="U987">
            <v>636272</v>
          </cell>
          <cell r="W987" t="str">
            <v>GQS</v>
          </cell>
          <cell r="Z987">
            <v>679333</v>
          </cell>
          <cell r="AB987" t="str">
            <v>PANEL</v>
          </cell>
        </row>
        <row r="988">
          <cell r="S988">
            <v>0</v>
          </cell>
          <cell r="T988">
            <v>0</v>
          </cell>
          <cell r="U988">
            <v>0</v>
          </cell>
          <cell r="W988" t="str">
            <v>GQS</v>
          </cell>
          <cell r="Z988">
            <v>0</v>
          </cell>
          <cell r="AB988" t="str">
            <v>MAIN_UNIT</v>
          </cell>
        </row>
        <row r="989">
          <cell r="S989">
            <v>86122</v>
          </cell>
          <cell r="T989">
            <v>0</v>
          </cell>
          <cell r="U989">
            <v>113226</v>
          </cell>
          <cell r="W989" t="str">
            <v>GQS</v>
          </cell>
          <cell r="Z989">
            <v>199348</v>
          </cell>
          <cell r="AB989" t="str">
            <v>MAIN_UNIT</v>
          </cell>
        </row>
        <row r="990">
          <cell r="S990">
            <v>25837</v>
          </cell>
          <cell r="T990">
            <v>0</v>
          </cell>
          <cell r="U990">
            <v>571944</v>
          </cell>
          <cell r="W990" t="str">
            <v>GQS</v>
          </cell>
          <cell r="Z990">
            <v>597781</v>
          </cell>
          <cell r="AB990" t="str">
            <v>PANEL</v>
          </cell>
        </row>
        <row r="991">
          <cell r="S991">
            <v>43061</v>
          </cell>
          <cell r="T991">
            <v>0</v>
          </cell>
          <cell r="U991">
            <v>569380</v>
          </cell>
          <cell r="W991" t="str">
            <v>GQS</v>
          </cell>
          <cell r="Z991">
            <v>612441</v>
          </cell>
          <cell r="AB991" t="str">
            <v>PANEL</v>
          </cell>
        </row>
        <row r="992">
          <cell r="S992">
            <v>51673</v>
          </cell>
          <cell r="T992">
            <v>0</v>
          </cell>
          <cell r="U992">
            <v>1433937</v>
          </cell>
          <cell r="W992" t="str">
            <v>GQS</v>
          </cell>
          <cell r="Z992">
            <v>1485610</v>
          </cell>
          <cell r="AB992" t="str">
            <v>PANEL</v>
          </cell>
        </row>
        <row r="993">
          <cell r="S993">
            <v>0</v>
          </cell>
          <cell r="T993">
            <v>0</v>
          </cell>
          <cell r="U993">
            <v>0</v>
          </cell>
          <cell r="W993" t="str">
            <v>GQS</v>
          </cell>
          <cell r="Z993">
            <v>0</v>
          </cell>
          <cell r="AB993" t="str">
            <v>MAIN_UNIT</v>
          </cell>
        </row>
        <row r="994">
          <cell r="S994">
            <v>0</v>
          </cell>
          <cell r="T994">
            <v>0</v>
          </cell>
          <cell r="U994">
            <v>0</v>
          </cell>
          <cell r="W994" t="str">
            <v>GQS</v>
          </cell>
          <cell r="Z994">
            <v>0</v>
          </cell>
          <cell r="AB994" t="str">
            <v>TAPE</v>
          </cell>
        </row>
        <row r="995">
          <cell r="S995">
            <v>17224</v>
          </cell>
          <cell r="T995">
            <v>0</v>
          </cell>
          <cell r="U995">
            <v>571492</v>
          </cell>
          <cell r="W995" t="str">
            <v>GQS</v>
          </cell>
          <cell r="Z995">
            <v>588716</v>
          </cell>
          <cell r="AB995" t="str">
            <v>PANEL</v>
          </cell>
        </row>
        <row r="996">
          <cell r="S996">
            <v>25837</v>
          </cell>
          <cell r="T996">
            <v>0</v>
          </cell>
          <cell r="U996">
            <v>602572</v>
          </cell>
          <cell r="W996" t="str">
            <v>GQS</v>
          </cell>
          <cell r="Z996">
            <v>628409</v>
          </cell>
          <cell r="AB996" t="str">
            <v>MAIN_UNIT</v>
          </cell>
        </row>
        <row r="997">
          <cell r="S997">
            <v>25837</v>
          </cell>
          <cell r="T997">
            <v>0</v>
          </cell>
          <cell r="U997">
            <v>299936</v>
          </cell>
          <cell r="W997" t="str">
            <v>GQS</v>
          </cell>
          <cell r="Z997">
            <v>325773</v>
          </cell>
          <cell r="AB997" t="str">
            <v>MAIN_UNIT</v>
          </cell>
        </row>
        <row r="998">
          <cell r="S998">
            <v>43061</v>
          </cell>
          <cell r="T998">
            <v>0</v>
          </cell>
          <cell r="U998">
            <v>1053784</v>
          </cell>
          <cell r="W998" t="str">
            <v>GQS</v>
          </cell>
          <cell r="Z998">
            <v>1096845</v>
          </cell>
          <cell r="AB998" t="str">
            <v>MAIN_UNIT</v>
          </cell>
        </row>
        <row r="999">
          <cell r="S999">
            <v>86122</v>
          </cell>
          <cell r="T999">
            <v>0</v>
          </cell>
          <cell r="U999">
            <v>610637</v>
          </cell>
          <cell r="W999" t="str">
            <v>GQS</v>
          </cell>
          <cell r="Z999">
            <v>696759</v>
          </cell>
          <cell r="AB999" t="str">
            <v>MAIN_UNIT</v>
          </cell>
        </row>
        <row r="1000">
          <cell r="S1000">
            <v>43061</v>
          </cell>
          <cell r="T1000">
            <v>0</v>
          </cell>
          <cell r="U1000">
            <v>610638</v>
          </cell>
          <cell r="W1000" t="str">
            <v>GQS</v>
          </cell>
          <cell r="Z1000">
            <v>653699</v>
          </cell>
          <cell r="AB1000" t="str">
            <v>MAIN_UNIT</v>
          </cell>
        </row>
        <row r="1001">
          <cell r="S1001">
            <v>25837</v>
          </cell>
          <cell r="T1001">
            <v>0</v>
          </cell>
          <cell r="U1001">
            <v>610638</v>
          </cell>
          <cell r="W1001" t="str">
            <v>GQS</v>
          </cell>
          <cell r="Z1001">
            <v>636475</v>
          </cell>
          <cell r="AB1001" t="str">
            <v>MAIN_UNIT</v>
          </cell>
        </row>
        <row r="1002">
          <cell r="S1002">
            <v>25837</v>
          </cell>
          <cell r="T1002">
            <v>0</v>
          </cell>
          <cell r="U1002">
            <v>297603</v>
          </cell>
          <cell r="W1002" t="str">
            <v>GQS</v>
          </cell>
          <cell r="Z1002">
            <v>323440</v>
          </cell>
          <cell r="AB1002" t="str">
            <v>MAIN_UNIT</v>
          </cell>
        </row>
        <row r="1003">
          <cell r="S1003">
            <v>43061</v>
          </cell>
          <cell r="T1003">
            <v>0</v>
          </cell>
          <cell r="U1003">
            <v>610638</v>
          </cell>
          <cell r="W1003" t="str">
            <v>GQS</v>
          </cell>
          <cell r="Z1003">
            <v>653699</v>
          </cell>
          <cell r="AB1003" t="str">
            <v>MAIN_UNIT</v>
          </cell>
        </row>
        <row r="1004">
          <cell r="S1004">
            <v>86122</v>
          </cell>
          <cell r="T1004">
            <v>0</v>
          </cell>
          <cell r="U1004">
            <v>522996</v>
          </cell>
          <cell r="W1004" t="str">
            <v>GQS</v>
          </cell>
          <cell r="Z1004">
            <v>609118</v>
          </cell>
          <cell r="AB1004" t="str">
            <v>PANEL</v>
          </cell>
        </row>
        <row r="1005">
          <cell r="S1005">
            <v>25837</v>
          </cell>
          <cell r="T1005">
            <v>0</v>
          </cell>
          <cell r="U1005">
            <v>550000</v>
          </cell>
          <cell r="W1005" t="str">
            <v>GQS</v>
          </cell>
          <cell r="Z1005">
            <v>575837</v>
          </cell>
          <cell r="AB1005" t="str">
            <v>PANEL</v>
          </cell>
        </row>
        <row r="1006">
          <cell r="S1006">
            <v>86122</v>
          </cell>
          <cell r="T1006">
            <v>0</v>
          </cell>
          <cell r="U1006">
            <v>1055402</v>
          </cell>
          <cell r="W1006" t="str">
            <v>GQS</v>
          </cell>
          <cell r="Z1006">
            <v>1141524</v>
          </cell>
          <cell r="AB1006" t="str">
            <v>MAIN_UNIT</v>
          </cell>
        </row>
        <row r="1007">
          <cell r="S1007">
            <v>103346</v>
          </cell>
          <cell r="T1007">
            <v>0</v>
          </cell>
          <cell r="U1007">
            <v>669380</v>
          </cell>
          <cell r="W1007" t="str">
            <v>GQS</v>
          </cell>
          <cell r="Z1007">
            <v>772726</v>
          </cell>
          <cell r="AB1007" t="str">
            <v>PANEL</v>
          </cell>
        </row>
        <row r="1008">
          <cell r="S1008">
            <v>0</v>
          </cell>
          <cell r="T1008">
            <v>0</v>
          </cell>
          <cell r="U1008">
            <v>0</v>
          </cell>
          <cell r="W1008" t="str">
            <v>GQS</v>
          </cell>
          <cell r="Z1008">
            <v>0</v>
          </cell>
          <cell r="AB1008" t="str">
            <v>LED_BAR</v>
          </cell>
        </row>
        <row r="1009">
          <cell r="S1009">
            <v>43061</v>
          </cell>
          <cell r="T1009">
            <v>0</v>
          </cell>
          <cell r="U1009">
            <v>316600</v>
          </cell>
          <cell r="W1009" t="str">
            <v>GQS</v>
          </cell>
          <cell r="Z1009">
            <v>359661</v>
          </cell>
          <cell r="AB1009" t="str">
            <v>MAIN_UNIT</v>
          </cell>
        </row>
        <row r="1010">
          <cell r="S1010">
            <v>25837</v>
          </cell>
          <cell r="T1010">
            <v>0</v>
          </cell>
          <cell r="U1010">
            <v>151662</v>
          </cell>
          <cell r="W1010" t="str">
            <v>GQS</v>
          </cell>
          <cell r="Z1010">
            <v>177499</v>
          </cell>
          <cell r="AB1010" t="str">
            <v>POWER_UNIT</v>
          </cell>
        </row>
        <row r="1011">
          <cell r="S1011">
            <v>0</v>
          </cell>
          <cell r="T1011">
            <v>0</v>
          </cell>
          <cell r="U1011">
            <v>0</v>
          </cell>
          <cell r="W1011" t="str">
            <v>GQS</v>
          </cell>
          <cell r="Z1011">
            <v>0</v>
          </cell>
          <cell r="AB1011" t="str">
            <v>POWER_UNIT</v>
          </cell>
        </row>
        <row r="1012">
          <cell r="S1012">
            <v>86122</v>
          </cell>
          <cell r="T1012">
            <v>0</v>
          </cell>
          <cell r="U1012">
            <v>954145.99999999988</v>
          </cell>
          <cell r="W1012" t="str">
            <v>GQS</v>
          </cell>
          <cell r="Z1012">
            <v>1040268</v>
          </cell>
          <cell r="AB1012" t="str">
            <v>MAIN_UNIT</v>
          </cell>
        </row>
        <row r="1013">
          <cell r="S1013">
            <v>43061</v>
          </cell>
          <cell r="T1013">
            <v>0</v>
          </cell>
          <cell r="U1013">
            <v>120302</v>
          </cell>
          <cell r="W1013" t="str">
            <v>GQS</v>
          </cell>
          <cell r="Z1013">
            <v>163363</v>
          </cell>
          <cell r="AB1013" t="str">
            <v>MAIN_UNIT</v>
          </cell>
        </row>
        <row r="1014">
          <cell r="S1014">
            <v>86122</v>
          </cell>
          <cell r="T1014">
            <v>0</v>
          </cell>
          <cell r="U1014">
            <v>299936</v>
          </cell>
          <cell r="W1014" t="str">
            <v>GQS</v>
          </cell>
          <cell r="Z1014">
            <v>386058</v>
          </cell>
          <cell r="AB1014" t="str">
            <v>MAIN_UNIT</v>
          </cell>
        </row>
        <row r="1015">
          <cell r="S1015">
            <v>77510</v>
          </cell>
          <cell r="T1015">
            <v>0</v>
          </cell>
          <cell r="U1015">
            <v>602572</v>
          </cell>
          <cell r="W1015" t="str">
            <v>GQS</v>
          </cell>
          <cell r="Z1015">
            <v>680082</v>
          </cell>
          <cell r="AB1015" t="str">
            <v>MAIN_UNIT</v>
          </cell>
        </row>
        <row r="1016">
          <cell r="S1016">
            <v>86122</v>
          </cell>
          <cell r="T1016">
            <v>0</v>
          </cell>
          <cell r="U1016">
            <v>315748</v>
          </cell>
          <cell r="W1016" t="str">
            <v>GQS</v>
          </cell>
          <cell r="Z1016">
            <v>401870</v>
          </cell>
          <cell r="AB1016" t="str">
            <v>MAIN_UNIT</v>
          </cell>
        </row>
        <row r="1017">
          <cell r="S1017">
            <v>43061</v>
          </cell>
          <cell r="T1017">
            <v>0</v>
          </cell>
          <cell r="U1017">
            <v>610637</v>
          </cell>
          <cell r="W1017" t="str">
            <v>GQS</v>
          </cell>
          <cell r="Z1017">
            <v>653698</v>
          </cell>
          <cell r="AB1017" t="str">
            <v>MAIN_UNIT</v>
          </cell>
        </row>
        <row r="1018">
          <cell r="S1018">
            <v>0</v>
          </cell>
          <cell r="T1018">
            <v>0</v>
          </cell>
          <cell r="U1018">
            <v>0</v>
          </cell>
          <cell r="W1018" t="str">
            <v>GQS</v>
          </cell>
          <cell r="Z1018">
            <v>0</v>
          </cell>
          <cell r="AB1018" t="str">
            <v>TCON_UNIT</v>
          </cell>
        </row>
        <row r="1019">
          <cell r="S1019">
            <v>43061</v>
          </cell>
          <cell r="T1019">
            <v>0</v>
          </cell>
          <cell r="U1019">
            <v>1820477</v>
          </cell>
          <cell r="W1019" t="str">
            <v>GQS</v>
          </cell>
          <cell r="Z1019">
            <v>1863538</v>
          </cell>
          <cell r="AB1019" t="str">
            <v>PANEL</v>
          </cell>
        </row>
        <row r="1020">
          <cell r="S1020">
            <v>0</v>
          </cell>
          <cell r="T1020">
            <v>0</v>
          </cell>
          <cell r="U1020">
            <v>0</v>
          </cell>
          <cell r="W1020" t="str">
            <v>GQS</v>
          </cell>
          <cell r="Z1020">
            <v>0</v>
          </cell>
          <cell r="AB1020" t="str">
            <v>LVDS_WIRE</v>
          </cell>
        </row>
        <row r="1021">
          <cell r="S1021">
            <v>0</v>
          </cell>
          <cell r="T1021">
            <v>0</v>
          </cell>
          <cell r="U1021">
            <v>0</v>
          </cell>
          <cell r="W1021" t="str">
            <v>GQS</v>
          </cell>
          <cell r="Z1021">
            <v>0</v>
          </cell>
          <cell r="AB1021" t="str">
            <v>PART_KIT</v>
          </cell>
        </row>
        <row r="1022">
          <cell r="S1022">
            <v>43061</v>
          </cell>
          <cell r="T1022">
            <v>0</v>
          </cell>
          <cell r="U1022">
            <v>610638</v>
          </cell>
          <cell r="W1022" t="str">
            <v>GQS</v>
          </cell>
          <cell r="Z1022">
            <v>653699</v>
          </cell>
          <cell r="AB1022" t="str">
            <v>MAIN_UNIT</v>
          </cell>
        </row>
        <row r="1023">
          <cell r="S1023">
            <v>25837</v>
          </cell>
          <cell r="T1023">
            <v>0</v>
          </cell>
          <cell r="U1023">
            <v>571491</v>
          </cell>
          <cell r="W1023" t="str">
            <v>GQS</v>
          </cell>
          <cell r="Z1023">
            <v>597328</v>
          </cell>
          <cell r="AB1023" t="str">
            <v>PANEL</v>
          </cell>
        </row>
        <row r="1024">
          <cell r="S1024">
            <v>43061</v>
          </cell>
          <cell r="T1024">
            <v>0</v>
          </cell>
          <cell r="U1024">
            <v>969798</v>
          </cell>
          <cell r="W1024" t="str">
            <v>GQS</v>
          </cell>
          <cell r="Z1024">
            <v>1012859</v>
          </cell>
          <cell r="AB1024" t="str">
            <v>PANEL</v>
          </cell>
        </row>
        <row r="1025">
          <cell r="S1025">
            <v>8612</v>
          </cell>
          <cell r="T1025">
            <v>0</v>
          </cell>
          <cell r="U1025">
            <v>0</v>
          </cell>
          <cell r="W1025" t="str">
            <v>GQS</v>
          </cell>
          <cell r="Z1025">
            <v>8612</v>
          </cell>
        </row>
        <row r="1026">
          <cell r="S1026">
            <v>25837</v>
          </cell>
          <cell r="T1026">
            <v>0</v>
          </cell>
          <cell r="U1026">
            <v>1053784</v>
          </cell>
          <cell r="W1026" t="str">
            <v>GQS</v>
          </cell>
          <cell r="Z1026">
            <v>1079621</v>
          </cell>
          <cell r="AB1026" t="str">
            <v>MAIN_UNIT</v>
          </cell>
        </row>
        <row r="1027">
          <cell r="S1027">
            <v>43061</v>
          </cell>
          <cell r="T1027">
            <v>0</v>
          </cell>
          <cell r="U1027">
            <v>969798</v>
          </cell>
          <cell r="W1027" t="str">
            <v>GQS</v>
          </cell>
          <cell r="Z1027">
            <v>1012859</v>
          </cell>
          <cell r="AB1027" t="str">
            <v>PANEL</v>
          </cell>
        </row>
        <row r="1028">
          <cell r="S1028">
            <v>25837</v>
          </cell>
          <cell r="T1028">
            <v>0</v>
          </cell>
          <cell r="U1028">
            <v>969798</v>
          </cell>
          <cell r="W1028" t="str">
            <v>GQS</v>
          </cell>
          <cell r="Z1028">
            <v>995635</v>
          </cell>
          <cell r="AB1028" t="str">
            <v>PANEL</v>
          </cell>
        </row>
        <row r="1029">
          <cell r="S1029">
            <v>43061</v>
          </cell>
          <cell r="T1029">
            <v>0</v>
          </cell>
          <cell r="U1029">
            <v>610637</v>
          </cell>
          <cell r="W1029" t="str">
            <v>GQS</v>
          </cell>
          <cell r="Z1029">
            <v>653698</v>
          </cell>
          <cell r="AB1029" t="str">
            <v>MAIN_UNIT</v>
          </cell>
        </row>
        <row r="1030">
          <cell r="S1030">
            <v>43061</v>
          </cell>
          <cell r="T1030">
            <v>0</v>
          </cell>
          <cell r="U1030">
            <v>0</v>
          </cell>
          <cell r="W1030" t="str">
            <v>GQS</v>
          </cell>
          <cell r="Z1030">
            <v>43061</v>
          </cell>
        </row>
        <row r="1031">
          <cell r="S1031">
            <v>86122</v>
          </cell>
          <cell r="T1031">
            <v>0</v>
          </cell>
          <cell r="U1031">
            <v>571944</v>
          </cell>
          <cell r="W1031" t="str">
            <v>GQS</v>
          </cell>
          <cell r="Z1031">
            <v>658066</v>
          </cell>
          <cell r="AB1031" t="str">
            <v>PANEL</v>
          </cell>
        </row>
        <row r="1032">
          <cell r="S1032">
            <v>43061</v>
          </cell>
          <cell r="T1032">
            <v>0</v>
          </cell>
          <cell r="U1032">
            <v>569380</v>
          </cell>
          <cell r="W1032" t="str">
            <v>GQS</v>
          </cell>
          <cell r="Z1032">
            <v>612441</v>
          </cell>
          <cell r="AB1032" t="str">
            <v>PANEL</v>
          </cell>
        </row>
        <row r="1033">
          <cell r="S1033">
            <v>25837</v>
          </cell>
          <cell r="T1033">
            <v>0</v>
          </cell>
          <cell r="U1033">
            <v>0</v>
          </cell>
          <cell r="W1033" t="str">
            <v>GQS</v>
          </cell>
          <cell r="Z1033">
            <v>25837</v>
          </cell>
        </row>
        <row r="1034">
          <cell r="S1034">
            <v>34449</v>
          </cell>
          <cell r="T1034">
            <v>0</v>
          </cell>
          <cell r="U1034">
            <v>0</v>
          </cell>
          <cell r="W1034" t="str">
            <v>GQS</v>
          </cell>
          <cell r="Z1034">
            <v>34449</v>
          </cell>
        </row>
        <row r="1035">
          <cell r="S1035">
            <v>43061</v>
          </cell>
          <cell r="T1035">
            <v>0</v>
          </cell>
          <cell r="U1035">
            <v>969798</v>
          </cell>
          <cell r="W1035" t="str">
            <v>GQS</v>
          </cell>
          <cell r="Z1035">
            <v>1012859</v>
          </cell>
          <cell r="AB1035" t="str">
            <v>PANEL</v>
          </cell>
        </row>
        <row r="1036">
          <cell r="S1036">
            <v>43061</v>
          </cell>
          <cell r="T1036">
            <v>0</v>
          </cell>
          <cell r="U1036">
            <v>100000</v>
          </cell>
          <cell r="W1036" t="str">
            <v>GQS</v>
          </cell>
          <cell r="Z1036">
            <v>143061</v>
          </cell>
          <cell r="AB1036" t="str">
            <v>LED_BAR</v>
          </cell>
        </row>
        <row r="1037">
          <cell r="S1037">
            <v>25837</v>
          </cell>
          <cell r="T1037">
            <v>0</v>
          </cell>
          <cell r="U1037">
            <v>0</v>
          </cell>
          <cell r="W1037" t="str">
            <v>GQS</v>
          </cell>
          <cell r="Z1037">
            <v>25837</v>
          </cell>
        </row>
        <row r="1038">
          <cell r="S1038">
            <v>43061</v>
          </cell>
          <cell r="T1038">
            <v>0</v>
          </cell>
          <cell r="U1038">
            <v>969798</v>
          </cell>
          <cell r="W1038" t="str">
            <v>GQS</v>
          </cell>
          <cell r="Z1038">
            <v>1012859</v>
          </cell>
          <cell r="AB1038" t="str">
            <v>PANEL</v>
          </cell>
        </row>
        <row r="1039">
          <cell r="S1039">
            <v>17224</v>
          </cell>
          <cell r="T1039">
            <v>0</v>
          </cell>
          <cell r="U1039">
            <v>0</v>
          </cell>
          <cell r="W1039" t="str">
            <v>GQS</v>
          </cell>
          <cell r="Z1039">
            <v>17224</v>
          </cell>
        </row>
        <row r="1040">
          <cell r="S1040">
            <v>43061</v>
          </cell>
          <cell r="T1040">
            <v>0</v>
          </cell>
          <cell r="U1040">
            <v>61580.999999999993</v>
          </cell>
          <cell r="W1040" t="str">
            <v>GQS</v>
          </cell>
          <cell r="Z1040">
            <v>104642</v>
          </cell>
          <cell r="AB1040" t="str">
            <v>REMOTE_CONTROL</v>
          </cell>
        </row>
        <row r="1041">
          <cell r="S1041">
            <v>43061</v>
          </cell>
          <cell r="T1041">
            <v>0</v>
          </cell>
          <cell r="U1041">
            <v>969798</v>
          </cell>
          <cell r="W1041" t="str">
            <v>GQS</v>
          </cell>
          <cell r="Z1041">
            <v>1012859</v>
          </cell>
          <cell r="AB1041" t="str">
            <v>PANEL</v>
          </cell>
        </row>
        <row r="1042">
          <cell r="S1042">
            <v>43061</v>
          </cell>
          <cell r="T1042">
            <v>0</v>
          </cell>
          <cell r="U1042">
            <v>0</v>
          </cell>
          <cell r="W1042" t="str">
            <v>GQS</v>
          </cell>
          <cell r="Z1042">
            <v>43061</v>
          </cell>
        </row>
        <row r="1043">
          <cell r="S1043">
            <v>0</v>
          </cell>
          <cell r="T1043">
            <v>0</v>
          </cell>
          <cell r="U1043">
            <v>0</v>
          </cell>
          <cell r="W1043" t="str">
            <v>GQS</v>
          </cell>
          <cell r="Z1043">
            <v>0</v>
          </cell>
          <cell r="AB1043" t="str">
            <v>TCON_UNIT</v>
          </cell>
        </row>
        <row r="1044">
          <cell r="S1044">
            <v>43061</v>
          </cell>
          <cell r="T1044">
            <v>0</v>
          </cell>
          <cell r="U1044">
            <v>1551569</v>
          </cell>
          <cell r="W1044" t="str">
            <v>GQS</v>
          </cell>
          <cell r="Z1044">
            <v>1594630</v>
          </cell>
          <cell r="AB1044" t="str">
            <v>PANEL</v>
          </cell>
        </row>
        <row r="1045">
          <cell r="S1045">
            <v>17224</v>
          </cell>
          <cell r="T1045">
            <v>0</v>
          </cell>
          <cell r="U1045">
            <v>0</v>
          </cell>
          <cell r="W1045" t="str">
            <v>GQS</v>
          </cell>
          <cell r="Z1045">
            <v>17224</v>
          </cell>
        </row>
        <row r="1046">
          <cell r="S1046">
            <v>8612</v>
          </cell>
          <cell r="T1046">
            <v>0</v>
          </cell>
          <cell r="U1046">
            <v>0</v>
          </cell>
          <cell r="W1046" t="str">
            <v>GQS</v>
          </cell>
          <cell r="Z1046">
            <v>8612</v>
          </cell>
        </row>
        <row r="1047">
          <cell r="S1047">
            <v>43061</v>
          </cell>
          <cell r="T1047">
            <v>0</v>
          </cell>
          <cell r="U1047">
            <v>969798</v>
          </cell>
          <cell r="W1047" t="str">
            <v>GQS</v>
          </cell>
          <cell r="Z1047">
            <v>1012859</v>
          </cell>
          <cell r="AB1047" t="str">
            <v>PANEL</v>
          </cell>
        </row>
        <row r="1048">
          <cell r="S1048">
            <v>43061</v>
          </cell>
          <cell r="T1048">
            <v>0</v>
          </cell>
          <cell r="U1048">
            <v>0</v>
          </cell>
          <cell r="W1048" t="str">
            <v>GQS</v>
          </cell>
          <cell r="Z1048">
            <v>43061</v>
          </cell>
        </row>
        <row r="1049">
          <cell r="S1049">
            <v>34449</v>
          </cell>
          <cell r="T1049">
            <v>0</v>
          </cell>
          <cell r="U1049">
            <v>297604</v>
          </cell>
          <cell r="W1049" t="str">
            <v>GQS</v>
          </cell>
          <cell r="Z1049">
            <v>332053</v>
          </cell>
          <cell r="AB1049" t="str">
            <v>MAIN_UNIT</v>
          </cell>
        </row>
        <row r="1050">
          <cell r="S1050">
            <v>43061</v>
          </cell>
          <cell r="T1050">
            <v>0</v>
          </cell>
          <cell r="U1050">
            <v>0</v>
          </cell>
          <cell r="W1050" t="str">
            <v>GQS</v>
          </cell>
          <cell r="Z1050">
            <v>43061</v>
          </cell>
        </row>
        <row r="1051">
          <cell r="S1051">
            <v>25837</v>
          </cell>
          <cell r="T1051">
            <v>0</v>
          </cell>
          <cell r="U1051">
            <v>10465</v>
          </cell>
          <cell r="W1051" t="str">
            <v>GQS</v>
          </cell>
          <cell r="Z1051">
            <v>36302</v>
          </cell>
          <cell r="AB1051" t="str">
            <v>REMOTE_CONTROL</v>
          </cell>
        </row>
        <row r="1052">
          <cell r="S1052">
            <v>25837</v>
          </cell>
          <cell r="T1052">
            <v>0</v>
          </cell>
          <cell r="U1052">
            <v>0</v>
          </cell>
          <cell r="W1052" t="str">
            <v>GQS</v>
          </cell>
          <cell r="Z1052">
            <v>25837</v>
          </cell>
        </row>
        <row r="1053">
          <cell r="S1053">
            <v>25837</v>
          </cell>
          <cell r="T1053">
            <v>0</v>
          </cell>
          <cell r="U1053">
            <v>0</v>
          </cell>
          <cell r="W1053" t="str">
            <v>GQS</v>
          </cell>
          <cell r="Z1053">
            <v>25837</v>
          </cell>
        </row>
        <row r="1054">
          <cell r="S1054">
            <v>43061</v>
          </cell>
          <cell r="T1054">
            <v>0</v>
          </cell>
          <cell r="U1054">
            <v>102457</v>
          </cell>
          <cell r="W1054" t="str">
            <v>GQS</v>
          </cell>
          <cell r="Z1054">
            <v>145518</v>
          </cell>
          <cell r="AB1054" t="str">
            <v>REMOTE_CONTROL</v>
          </cell>
        </row>
        <row r="1055">
          <cell r="S1055">
            <v>51673</v>
          </cell>
          <cell r="T1055">
            <v>0</v>
          </cell>
          <cell r="U1055">
            <v>56017.999999999993</v>
          </cell>
          <cell r="W1055" t="str">
            <v>GQS</v>
          </cell>
          <cell r="Z1055">
            <v>107691</v>
          </cell>
          <cell r="AB1055" t="str">
            <v>REMOTE_CONTROL</v>
          </cell>
        </row>
        <row r="1056">
          <cell r="S1056">
            <v>25837</v>
          </cell>
          <cell r="T1056">
            <v>0</v>
          </cell>
          <cell r="U1056">
            <v>21760</v>
          </cell>
          <cell r="W1056" t="str">
            <v>GQS</v>
          </cell>
          <cell r="Z1056">
            <v>47597</v>
          </cell>
          <cell r="AB1056" t="str">
            <v>REMOTE_CONTROL</v>
          </cell>
        </row>
        <row r="1057">
          <cell r="S1057">
            <v>43061</v>
          </cell>
          <cell r="T1057">
            <v>0</v>
          </cell>
          <cell r="U1057">
            <v>0</v>
          </cell>
          <cell r="W1057" t="str">
            <v>GQS</v>
          </cell>
          <cell r="Z1057">
            <v>43061</v>
          </cell>
        </row>
        <row r="1058">
          <cell r="S1058">
            <v>0</v>
          </cell>
          <cell r="T1058">
            <v>0</v>
          </cell>
          <cell r="U1058">
            <v>0</v>
          </cell>
          <cell r="W1058" t="str">
            <v>GQS</v>
          </cell>
          <cell r="Z1058">
            <v>0</v>
          </cell>
          <cell r="AB1058" t="str">
            <v>TAPE</v>
          </cell>
        </row>
        <row r="1059">
          <cell r="S1059">
            <v>0</v>
          </cell>
          <cell r="T1059">
            <v>0</v>
          </cell>
          <cell r="U1059">
            <v>0</v>
          </cell>
          <cell r="W1059" t="str">
            <v>GQS</v>
          </cell>
          <cell r="Z1059">
            <v>0</v>
          </cell>
          <cell r="AB1059" t="str">
            <v>MAIN_UNIT</v>
          </cell>
        </row>
        <row r="1060">
          <cell r="S1060">
            <v>43061</v>
          </cell>
          <cell r="T1060">
            <v>0</v>
          </cell>
          <cell r="U1060">
            <v>939404.00000000012</v>
          </cell>
          <cell r="W1060" t="str">
            <v>GQS</v>
          </cell>
          <cell r="Z1060">
            <v>982465.00000000012</v>
          </cell>
          <cell r="AB1060" t="str">
            <v>PANEL</v>
          </cell>
        </row>
        <row r="1061">
          <cell r="S1061">
            <v>68898</v>
          </cell>
          <cell r="T1061">
            <v>0</v>
          </cell>
          <cell r="U1061">
            <v>105000</v>
          </cell>
          <cell r="W1061" t="str">
            <v>GQS</v>
          </cell>
          <cell r="Z1061">
            <v>173898</v>
          </cell>
          <cell r="AB1061" t="str">
            <v>PART_KIT</v>
          </cell>
        </row>
        <row r="1062">
          <cell r="S1062">
            <v>43061</v>
          </cell>
          <cell r="T1062">
            <v>0</v>
          </cell>
          <cell r="U1062">
            <v>969798</v>
          </cell>
          <cell r="W1062" t="str">
            <v>GQS</v>
          </cell>
          <cell r="Z1062">
            <v>1012859</v>
          </cell>
          <cell r="AB1062" t="str">
            <v>PANEL</v>
          </cell>
        </row>
        <row r="1063">
          <cell r="S1063">
            <v>43061</v>
          </cell>
          <cell r="T1063">
            <v>0</v>
          </cell>
          <cell r="U1063">
            <v>550000</v>
          </cell>
          <cell r="W1063" t="str">
            <v>GQS</v>
          </cell>
          <cell r="Z1063">
            <v>593061</v>
          </cell>
          <cell r="AB1063" t="str">
            <v>PANEL</v>
          </cell>
        </row>
        <row r="1064">
          <cell r="S1064">
            <v>51673</v>
          </cell>
          <cell r="T1064">
            <v>0</v>
          </cell>
          <cell r="U1064">
            <v>969798</v>
          </cell>
          <cell r="W1064" t="str">
            <v>GQS</v>
          </cell>
          <cell r="Z1064">
            <v>1021471</v>
          </cell>
          <cell r="AB1064" t="str">
            <v>PANEL</v>
          </cell>
        </row>
        <row r="1065">
          <cell r="S1065">
            <v>43061</v>
          </cell>
          <cell r="T1065">
            <v>0</v>
          </cell>
          <cell r="U1065">
            <v>969798</v>
          </cell>
          <cell r="W1065" t="str">
            <v>GQS</v>
          </cell>
          <cell r="Z1065">
            <v>1012859</v>
          </cell>
          <cell r="AB1065" t="str">
            <v>PANEL</v>
          </cell>
        </row>
        <row r="1066">
          <cell r="S1066">
            <v>17224</v>
          </cell>
          <cell r="T1066">
            <v>0</v>
          </cell>
          <cell r="U1066">
            <v>12469</v>
          </cell>
          <cell r="W1066" t="str">
            <v>GQS</v>
          </cell>
          <cell r="Z1066">
            <v>29693</v>
          </cell>
          <cell r="AB1066" t="str">
            <v>REMOTE_CONTROL</v>
          </cell>
        </row>
        <row r="1067">
          <cell r="S1067">
            <v>25837</v>
          </cell>
          <cell r="T1067">
            <v>0</v>
          </cell>
          <cell r="U1067">
            <v>299936</v>
          </cell>
          <cell r="W1067" t="str">
            <v>GQS</v>
          </cell>
          <cell r="Z1067">
            <v>325773</v>
          </cell>
          <cell r="AB1067" t="str">
            <v>MAIN_UNIT</v>
          </cell>
        </row>
        <row r="1068">
          <cell r="S1068">
            <v>43061</v>
          </cell>
          <cell r="T1068">
            <v>0</v>
          </cell>
          <cell r="U1068">
            <v>299936</v>
          </cell>
          <cell r="W1068" t="str">
            <v>GQS</v>
          </cell>
          <cell r="Z1068">
            <v>342997</v>
          </cell>
          <cell r="AB1068" t="str">
            <v>MAIN_UNIT</v>
          </cell>
        </row>
        <row r="1069">
          <cell r="S1069">
            <v>25837</v>
          </cell>
          <cell r="T1069">
            <v>0</v>
          </cell>
          <cell r="U1069">
            <v>0</v>
          </cell>
          <cell r="W1069" t="str">
            <v>GQS</v>
          </cell>
          <cell r="Z1069">
            <v>25837</v>
          </cell>
        </row>
        <row r="1070">
          <cell r="S1070">
            <v>34449</v>
          </cell>
          <cell r="T1070">
            <v>0</v>
          </cell>
          <cell r="U1070">
            <v>969798</v>
          </cell>
          <cell r="W1070" t="str">
            <v>GQS</v>
          </cell>
          <cell r="Z1070">
            <v>1004247</v>
          </cell>
          <cell r="AB1070" t="str">
            <v>PANEL</v>
          </cell>
        </row>
        <row r="1071">
          <cell r="S1071">
            <v>8612</v>
          </cell>
          <cell r="T1071">
            <v>0</v>
          </cell>
          <cell r="U1071">
            <v>0</v>
          </cell>
          <cell r="W1071" t="str">
            <v>GQS</v>
          </cell>
          <cell r="Z1071">
            <v>8612</v>
          </cell>
        </row>
        <row r="1072">
          <cell r="S1072">
            <v>43061</v>
          </cell>
          <cell r="T1072">
            <v>0</v>
          </cell>
          <cell r="U1072">
            <v>135007</v>
          </cell>
          <cell r="W1072" t="str">
            <v>GQS</v>
          </cell>
          <cell r="Z1072">
            <v>178068</v>
          </cell>
          <cell r="AB1072" t="str">
            <v>LED_BAR</v>
          </cell>
        </row>
        <row r="1073">
          <cell r="S1073">
            <v>0</v>
          </cell>
          <cell r="T1073">
            <v>0</v>
          </cell>
          <cell r="U1073">
            <v>0</v>
          </cell>
          <cell r="W1073" t="str">
            <v>GQS</v>
          </cell>
          <cell r="Z1073">
            <v>0</v>
          </cell>
          <cell r="AB1073" t="str">
            <v>IC</v>
          </cell>
        </row>
        <row r="1074">
          <cell r="S1074">
            <v>25837</v>
          </cell>
          <cell r="T1074">
            <v>0</v>
          </cell>
          <cell r="U1074">
            <v>0</v>
          </cell>
          <cell r="W1074" t="str">
            <v>GQS</v>
          </cell>
          <cell r="Z1074">
            <v>25837</v>
          </cell>
        </row>
        <row r="1075">
          <cell r="S1075">
            <v>43061</v>
          </cell>
          <cell r="T1075">
            <v>0</v>
          </cell>
          <cell r="U1075">
            <v>55000</v>
          </cell>
          <cell r="W1075" t="str">
            <v>GQS</v>
          </cell>
          <cell r="Z1075">
            <v>98061</v>
          </cell>
          <cell r="AB1075" t="str">
            <v>PART_KIT</v>
          </cell>
        </row>
        <row r="1076">
          <cell r="S1076">
            <v>25837</v>
          </cell>
          <cell r="T1076">
            <v>0</v>
          </cell>
          <cell r="U1076">
            <v>0</v>
          </cell>
          <cell r="W1076" t="str">
            <v>GQS</v>
          </cell>
          <cell r="Z1076">
            <v>25837</v>
          </cell>
        </row>
        <row r="1077">
          <cell r="S1077">
            <v>0</v>
          </cell>
          <cell r="T1077">
            <v>0</v>
          </cell>
          <cell r="U1077">
            <v>0</v>
          </cell>
          <cell r="W1077" t="str">
            <v>GQS</v>
          </cell>
          <cell r="Z1077">
            <v>0</v>
          </cell>
          <cell r="AB1077" t="str">
            <v>TAPE</v>
          </cell>
        </row>
        <row r="1078">
          <cell r="S1078">
            <v>43061</v>
          </cell>
          <cell r="T1078">
            <v>0</v>
          </cell>
          <cell r="U1078">
            <v>1037321</v>
          </cell>
          <cell r="W1078" t="str">
            <v>GQS</v>
          </cell>
          <cell r="Z1078">
            <v>1080382</v>
          </cell>
          <cell r="AB1078" t="str">
            <v>PANEL</v>
          </cell>
        </row>
        <row r="1079">
          <cell r="S1079">
            <v>43061</v>
          </cell>
          <cell r="T1079">
            <v>0</v>
          </cell>
          <cell r="U1079">
            <v>969798</v>
          </cell>
          <cell r="W1079" t="str">
            <v>GQS</v>
          </cell>
          <cell r="Z1079">
            <v>1012859</v>
          </cell>
          <cell r="AB1079" t="str">
            <v>PANEL</v>
          </cell>
        </row>
        <row r="1080">
          <cell r="S1080">
            <v>51673</v>
          </cell>
          <cell r="T1080">
            <v>0</v>
          </cell>
          <cell r="U1080">
            <v>969798</v>
          </cell>
          <cell r="W1080" t="str">
            <v>GQS</v>
          </cell>
          <cell r="Z1080">
            <v>1021471</v>
          </cell>
          <cell r="AB1080" t="str">
            <v>PANEL</v>
          </cell>
        </row>
        <row r="1081">
          <cell r="S1081">
            <v>17224</v>
          </cell>
          <cell r="T1081">
            <v>0</v>
          </cell>
          <cell r="U1081">
            <v>1461724</v>
          </cell>
          <cell r="W1081" t="str">
            <v>GQS</v>
          </cell>
          <cell r="Z1081">
            <v>1478948</v>
          </cell>
          <cell r="AB1081" t="str">
            <v>PANEL</v>
          </cell>
        </row>
        <row r="1082">
          <cell r="S1082">
            <v>43061</v>
          </cell>
          <cell r="T1082">
            <v>0</v>
          </cell>
          <cell r="U1082">
            <v>299936</v>
          </cell>
          <cell r="W1082" t="str">
            <v>GQS</v>
          </cell>
          <cell r="Z1082">
            <v>342997</v>
          </cell>
          <cell r="AB1082" t="str">
            <v>MAIN_UNIT</v>
          </cell>
        </row>
        <row r="1083">
          <cell r="S1083">
            <v>25837</v>
          </cell>
          <cell r="T1083">
            <v>0</v>
          </cell>
          <cell r="U1083">
            <v>297603</v>
          </cell>
          <cell r="W1083" t="str">
            <v>GQS</v>
          </cell>
          <cell r="Z1083">
            <v>323440</v>
          </cell>
          <cell r="AB1083" t="str">
            <v>MAIN_UNIT</v>
          </cell>
        </row>
        <row r="1084">
          <cell r="S1084">
            <v>43061</v>
          </cell>
          <cell r="T1084">
            <v>0</v>
          </cell>
          <cell r="U1084">
            <v>610638</v>
          </cell>
          <cell r="W1084" t="str">
            <v>GQS</v>
          </cell>
          <cell r="Z1084">
            <v>653699</v>
          </cell>
          <cell r="AB1084" t="str">
            <v>MAIN_UNIT</v>
          </cell>
        </row>
        <row r="1085">
          <cell r="S1085">
            <v>25837</v>
          </cell>
          <cell r="T1085">
            <v>0</v>
          </cell>
          <cell r="U1085">
            <v>0</v>
          </cell>
          <cell r="W1085" t="str">
            <v>GQS</v>
          </cell>
          <cell r="Z1085">
            <v>25837</v>
          </cell>
        </row>
        <row r="1086">
          <cell r="S1086">
            <v>43061</v>
          </cell>
          <cell r="T1086">
            <v>0</v>
          </cell>
          <cell r="U1086">
            <v>0</v>
          </cell>
          <cell r="W1086" t="str">
            <v>GQS</v>
          </cell>
          <cell r="Z1086">
            <v>43061</v>
          </cell>
        </row>
        <row r="1087">
          <cell r="S1087">
            <v>43061</v>
          </cell>
          <cell r="T1087">
            <v>0</v>
          </cell>
          <cell r="U1087">
            <v>367125</v>
          </cell>
          <cell r="W1087" t="str">
            <v>GQS</v>
          </cell>
          <cell r="Z1087">
            <v>410186</v>
          </cell>
          <cell r="AB1087" t="str">
            <v>PANEL</v>
          </cell>
        </row>
        <row r="1088">
          <cell r="S1088">
            <v>17224</v>
          </cell>
          <cell r="T1088">
            <v>0</v>
          </cell>
          <cell r="U1088">
            <v>105000</v>
          </cell>
          <cell r="W1088" t="str">
            <v>GQS</v>
          </cell>
          <cell r="Z1088">
            <v>122224</v>
          </cell>
          <cell r="AB1088" t="str">
            <v>PART_KIT</v>
          </cell>
        </row>
        <row r="1089">
          <cell r="S1089">
            <v>86122</v>
          </cell>
          <cell r="T1089">
            <v>0</v>
          </cell>
          <cell r="U1089">
            <v>183834</v>
          </cell>
          <cell r="W1089" t="str">
            <v>GQS</v>
          </cell>
          <cell r="Z1089">
            <v>269956</v>
          </cell>
          <cell r="AB1089" t="str">
            <v>MAIN_UNIT</v>
          </cell>
        </row>
        <row r="1090">
          <cell r="S1090">
            <v>60285</v>
          </cell>
          <cell r="T1090">
            <v>0</v>
          </cell>
          <cell r="U1090">
            <v>0</v>
          </cell>
          <cell r="W1090" t="str">
            <v>GQS</v>
          </cell>
          <cell r="Z1090">
            <v>60285</v>
          </cell>
        </row>
        <row r="1091">
          <cell r="S1091">
            <v>86122</v>
          </cell>
          <cell r="T1091">
            <v>0</v>
          </cell>
          <cell r="U1091">
            <v>569380</v>
          </cell>
          <cell r="W1091" t="str">
            <v>GQS</v>
          </cell>
          <cell r="Z1091">
            <v>655502</v>
          </cell>
          <cell r="AB1091" t="str">
            <v>PANEL</v>
          </cell>
        </row>
        <row r="1092">
          <cell r="S1092">
            <v>8612</v>
          </cell>
          <cell r="T1092">
            <v>0</v>
          </cell>
          <cell r="U1092">
            <v>969798</v>
          </cell>
          <cell r="W1092" t="str">
            <v>GQS</v>
          </cell>
          <cell r="Z1092">
            <v>978410</v>
          </cell>
          <cell r="AB1092" t="str">
            <v>PANEL</v>
          </cell>
        </row>
        <row r="1093">
          <cell r="S1093">
            <v>25837</v>
          </cell>
          <cell r="T1093">
            <v>0</v>
          </cell>
          <cell r="U1093">
            <v>969798</v>
          </cell>
          <cell r="W1093" t="str">
            <v>GQS</v>
          </cell>
          <cell r="Z1093">
            <v>995635</v>
          </cell>
          <cell r="AB1093" t="str">
            <v>PANEL</v>
          </cell>
        </row>
        <row r="1094">
          <cell r="S1094">
            <v>51673</v>
          </cell>
          <cell r="T1094">
            <v>0</v>
          </cell>
          <cell r="U1094">
            <v>1053784</v>
          </cell>
          <cell r="W1094" t="str">
            <v>GQS</v>
          </cell>
          <cell r="Z1094">
            <v>1105457</v>
          </cell>
          <cell r="AB1094" t="str">
            <v>MAIN_UNIT</v>
          </cell>
        </row>
        <row r="1095">
          <cell r="S1095">
            <v>68898</v>
          </cell>
          <cell r="T1095">
            <v>0</v>
          </cell>
          <cell r="U1095">
            <v>187062</v>
          </cell>
          <cell r="W1095" t="str">
            <v>GQS</v>
          </cell>
          <cell r="Z1095">
            <v>255960</v>
          </cell>
          <cell r="AB1095" t="str">
            <v>MAIN_UNIT</v>
          </cell>
        </row>
        <row r="1096">
          <cell r="S1096">
            <v>0</v>
          </cell>
          <cell r="T1096">
            <v>0</v>
          </cell>
          <cell r="U1096">
            <v>0</v>
          </cell>
          <cell r="W1096" t="str">
            <v>GQS</v>
          </cell>
          <cell r="Z1096">
            <v>0</v>
          </cell>
          <cell r="AB1096" t="str">
            <v>TAPE</v>
          </cell>
        </row>
        <row r="1097">
          <cell r="S1097">
            <v>43061</v>
          </cell>
          <cell r="T1097">
            <v>0</v>
          </cell>
          <cell r="U1097">
            <v>617523</v>
          </cell>
          <cell r="W1097" t="str">
            <v>GQS</v>
          </cell>
          <cell r="Z1097">
            <v>660584</v>
          </cell>
          <cell r="AB1097" t="str">
            <v>PANEL</v>
          </cell>
        </row>
        <row r="1098">
          <cell r="S1098">
            <v>17224</v>
          </cell>
          <cell r="T1098">
            <v>0</v>
          </cell>
          <cell r="U1098">
            <v>0</v>
          </cell>
          <cell r="W1098" t="str">
            <v>GQS</v>
          </cell>
          <cell r="Z1098">
            <v>17224</v>
          </cell>
        </row>
        <row r="1099">
          <cell r="S1099">
            <v>8612</v>
          </cell>
          <cell r="T1099">
            <v>0</v>
          </cell>
          <cell r="U1099">
            <v>120302</v>
          </cell>
          <cell r="W1099" t="str">
            <v>GQS</v>
          </cell>
          <cell r="Z1099">
            <v>128914</v>
          </cell>
          <cell r="AB1099" t="str">
            <v>MAIN_UNIT</v>
          </cell>
        </row>
        <row r="1100">
          <cell r="S1100">
            <v>43061</v>
          </cell>
          <cell r="T1100">
            <v>0</v>
          </cell>
          <cell r="U1100">
            <v>0</v>
          </cell>
          <cell r="W1100" t="str">
            <v>GQS</v>
          </cell>
          <cell r="Z1100">
            <v>43061</v>
          </cell>
        </row>
        <row r="1101">
          <cell r="S1101">
            <v>43061</v>
          </cell>
          <cell r="T1101">
            <v>0</v>
          </cell>
          <cell r="U1101">
            <v>969798</v>
          </cell>
          <cell r="W1101" t="str">
            <v>GQS</v>
          </cell>
          <cell r="Z1101">
            <v>1012859</v>
          </cell>
          <cell r="AB1101" t="str">
            <v>PANEL</v>
          </cell>
        </row>
        <row r="1102">
          <cell r="S1102">
            <v>43061</v>
          </cell>
          <cell r="T1102">
            <v>0</v>
          </cell>
          <cell r="U1102">
            <v>297604</v>
          </cell>
          <cell r="W1102" t="str">
            <v>GQS</v>
          </cell>
          <cell r="Z1102">
            <v>340665</v>
          </cell>
          <cell r="AB1102" t="str">
            <v>MAIN_UNIT</v>
          </cell>
        </row>
        <row r="1103">
          <cell r="S1103">
            <v>43061</v>
          </cell>
          <cell r="T1103">
            <v>0</v>
          </cell>
          <cell r="U1103">
            <v>0</v>
          </cell>
          <cell r="W1103" t="str">
            <v>GQS</v>
          </cell>
          <cell r="Z1103">
            <v>43061</v>
          </cell>
        </row>
        <row r="1104">
          <cell r="S1104">
            <v>86122</v>
          </cell>
          <cell r="T1104">
            <v>0</v>
          </cell>
          <cell r="U1104">
            <v>602572</v>
          </cell>
          <cell r="W1104" t="str">
            <v>GQS</v>
          </cell>
          <cell r="Z1104">
            <v>688694</v>
          </cell>
          <cell r="AB1104" t="str">
            <v>MAIN_UNIT</v>
          </cell>
        </row>
        <row r="1105">
          <cell r="S1105">
            <v>34449</v>
          </cell>
          <cell r="T1105">
            <v>0</v>
          </cell>
          <cell r="U1105">
            <v>269146</v>
          </cell>
          <cell r="W1105" t="str">
            <v>GQS</v>
          </cell>
          <cell r="Z1105">
            <v>303595</v>
          </cell>
          <cell r="AB1105" t="str">
            <v>MAIN_UNIT</v>
          </cell>
        </row>
        <row r="1106">
          <cell r="S1106">
            <v>25837</v>
          </cell>
          <cell r="T1106">
            <v>0</v>
          </cell>
          <cell r="U1106">
            <v>12469</v>
          </cell>
          <cell r="W1106" t="str">
            <v>GQS</v>
          </cell>
          <cell r="Z1106">
            <v>38306</v>
          </cell>
          <cell r="AB1106" t="str">
            <v>REMOTE_CONTROL</v>
          </cell>
        </row>
        <row r="1107">
          <cell r="S1107">
            <v>68898</v>
          </cell>
          <cell r="T1107">
            <v>31500</v>
          </cell>
          <cell r="U1107">
            <v>120302</v>
          </cell>
          <cell r="W1107" t="str">
            <v>GQS</v>
          </cell>
          <cell r="Z1107">
            <v>220700</v>
          </cell>
          <cell r="AB1107" t="str">
            <v>MAIN_UNIT</v>
          </cell>
        </row>
        <row r="1108">
          <cell r="S1108">
            <v>34449</v>
          </cell>
          <cell r="T1108">
            <v>46200</v>
          </cell>
          <cell r="U1108">
            <v>969798</v>
          </cell>
          <cell r="W1108" t="str">
            <v>GQS</v>
          </cell>
          <cell r="Z1108">
            <v>1050447</v>
          </cell>
          <cell r="AB1108" t="str">
            <v>PANEL</v>
          </cell>
        </row>
        <row r="1109">
          <cell r="S1109">
            <v>34449</v>
          </cell>
          <cell r="T1109">
            <v>21000</v>
          </cell>
          <cell r="U1109">
            <v>1831300</v>
          </cell>
          <cell r="W1109" t="str">
            <v>GQS</v>
          </cell>
          <cell r="Z1109">
            <v>1886749</v>
          </cell>
          <cell r="AB1109" t="str">
            <v>PANEL</v>
          </cell>
        </row>
        <row r="1110">
          <cell r="S1110">
            <v>51673</v>
          </cell>
          <cell r="T1110">
            <v>31500</v>
          </cell>
          <cell r="U1110">
            <v>635319</v>
          </cell>
          <cell r="W1110" t="str">
            <v>GQS</v>
          </cell>
          <cell r="Z1110">
            <v>718492</v>
          </cell>
          <cell r="AB1110" t="str">
            <v>PANEL</v>
          </cell>
        </row>
        <row r="1111">
          <cell r="S1111">
            <v>51673</v>
          </cell>
          <cell r="T1111">
            <v>77700</v>
          </cell>
          <cell r="U1111">
            <v>969798</v>
          </cell>
          <cell r="W1111" t="str">
            <v>GQS</v>
          </cell>
          <cell r="Z1111">
            <v>1099171</v>
          </cell>
          <cell r="AB1111" t="str">
            <v>PANEL</v>
          </cell>
        </row>
        <row r="1112">
          <cell r="S1112">
            <v>51673</v>
          </cell>
          <cell r="T1112">
            <v>4200</v>
          </cell>
          <cell r="U1112">
            <v>0</v>
          </cell>
          <cell r="W1112" t="str">
            <v>GQS</v>
          </cell>
          <cell r="Z1112">
            <v>55873</v>
          </cell>
        </row>
        <row r="1113">
          <cell r="S1113">
            <v>17224</v>
          </cell>
          <cell r="T1113">
            <v>84000</v>
          </cell>
          <cell r="U1113">
            <v>120302</v>
          </cell>
          <cell r="W1113" t="str">
            <v>GQS</v>
          </cell>
          <cell r="Z1113">
            <v>221526</v>
          </cell>
          <cell r="AB1113" t="str">
            <v>MAIN_UNIT</v>
          </cell>
        </row>
        <row r="1114">
          <cell r="S1114">
            <v>17224</v>
          </cell>
          <cell r="T1114">
            <v>10500</v>
          </cell>
          <cell r="U1114">
            <v>0</v>
          </cell>
          <cell r="W1114" t="str">
            <v>GQS</v>
          </cell>
          <cell r="Z1114">
            <v>27724</v>
          </cell>
        </row>
        <row r="1115">
          <cell r="S1115">
            <v>0</v>
          </cell>
          <cell r="T1115">
            <v>0</v>
          </cell>
          <cell r="U1115">
            <v>0</v>
          </cell>
          <cell r="W1115" t="str">
            <v>GQS</v>
          </cell>
          <cell r="Z1115">
            <v>0</v>
          </cell>
          <cell r="AB1115" t="str">
            <v>TAPE</v>
          </cell>
        </row>
        <row r="1116">
          <cell r="S1116">
            <v>60285</v>
          </cell>
          <cell r="T1116">
            <v>105000</v>
          </cell>
          <cell r="U1116">
            <v>590519</v>
          </cell>
          <cell r="W1116" t="str">
            <v>GQS</v>
          </cell>
          <cell r="Z1116">
            <v>755804</v>
          </cell>
          <cell r="AB1116" t="str">
            <v>PANEL</v>
          </cell>
        </row>
        <row r="1117">
          <cell r="S1117">
            <v>17224</v>
          </cell>
          <cell r="T1117">
            <v>0</v>
          </cell>
          <cell r="U1117">
            <v>0</v>
          </cell>
          <cell r="W1117" t="str">
            <v>GQS</v>
          </cell>
          <cell r="Z1117">
            <v>17224</v>
          </cell>
        </row>
        <row r="1118">
          <cell r="S1118">
            <v>43061</v>
          </cell>
          <cell r="T1118">
            <v>31500</v>
          </cell>
          <cell r="U1118">
            <v>0</v>
          </cell>
          <cell r="W1118" t="str">
            <v>GQS</v>
          </cell>
          <cell r="Z1118">
            <v>74561</v>
          </cell>
        </row>
        <row r="1119">
          <cell r="S1119">
            <v>0</v>
          </cell>
          <cell r="T1119">
            <v>0</v>
          </cell>
          <cell r="U1119">
            <v>0</v>
          </cell>
          <cell r="W1119" t="str">
            <v>GQS</v>
          </cell>
          <cell r="Z1119">
            <v>0</v>
          </cell>
          <cell r="AB1119" t="str">
            <v>LVDS_WIRE</v>
          </cell>
        </row>
        <row r="1120">
          <cell r="S1120">
            <v>77510</v>
          </cell>
          <cell r="T1120">
            <v>39900</v>
          </cell>
          <cell r="U1120">
            <v>2435278</v>
          </cell>
          <cell r="W1120" t="str">
            <v>GQS</v>
          </cell>
          <cell r="Z1120">
            <v>2552688</v>
          </cell>
          <cell r="AB1120" t="str">
            <v>PANEL</v>
          </cell>
        </row>
        <row r="1121">
          <cell r="S1121">
            <v>0</v>
          </cell>
          <cell r="T1121">
            <v>0</v>
          </cell>
          <cell r="U1121">
            <v>0</v>
          </cell>
          <cell r="W1121" t="str">
            <v>GQS</v>
          </cell>
          <cell r="Z1121">
            <v>0</v>
          </cell>
          <cell r="AB1121" t="str">
            <v>MAIN_UNIT</v>
          </cell>
        </row>
        <row r="1122">
          <cell r="S1122">
            <v>0</v>
          </cell>
          <cell r="T1122">
            <v>0</v>
          </cell>
          <cell r="U1122">
            <v>0</v>
          </cell>
          <cell r="W1122" t="str">
            <v>GQS</v>
          </cell>
          <cell r="Z1122">
            <v>0</v>
          </cell>
          <cell r="AB1122" t="str">
            <v>PART_KIT</v>
          </cell>
        </row>
        <row r="1123">
          <cell r="S1123">
            <v>0</v>
          </cell>
          <cell r="T1123">
            <v>0</v>
          </cell>
          <cell r="U1123">
            <v>0</v>
          </cell>
          <cell r="W1123" t="str">
            <v>GQS</v>
          </cell>
          <cell r="Z1123">
            <v>0</v>
          </cell>
          <cell r="AB1123" t="str">
            <v>TCON_UNIT</v>
          </cell>
        </row>
        <row r="1124">
          <cell r="S1124">
            <v>43061</v>
          </cell>
          <cell r="T1124">
            <v>210000</v>
          </cell>
          <cell r="U1124">
            <v>819992</v>
          </cell>
          <cell r="W1124" t="str">
            <v>GQS</v>
          </cell>
          <cell r="Z1124">
            <v>1073053</v>
          </cell>
          <cell r="AB1124" t="str">
            <v>PANEL</v>
          </cell>
        </row>
        <row r="1125">
          <cell r="S1125">
            <v>43061</v>
          </cell>
          <cell r="T1125">
            <v>27300</v>
          </cell>
          <cell r="U1125">
            <v>1373768</v>
          </cell>
          <cell r="W1125" t="str">
            <v>GQS</v>
          </cell>
          <cell r="Z1125">
            <v>1444129</v>
          </cell>
          <cell r="AB1125" t="str">
            <v>PANEL</v>
          </cell>
        </row>
        <row r="1126">
          <cell r="S1126">
            <v>43061</v>
          </cell>
          <cell r="T1126">
            <v>21000</v>
          </cell>
          <cell r="U1126">
            <v>0</v>
          </cell>
          <cell r="W1126" t="str">
            <v>GQS</v>
          </cell>
          <cell r="Z1126">
            <v>64061</v>
          </cell>
        </row>
        <row r="1127">
          <cell r="S1127">
            <v>25837</v>
          </cell>
          <cell r="T1127">
            <v>31500</v>
          </cell>
          <cell r="U1127">
            <v>0</v>
          </cell>
          <cell r="W1127" t="str">
            <v>GQS</v>
          </cell>
          <cell r="Z1127">
            <v>57337</v>
          </cell>
        </row>
        <row r="1128">
          <cell r="S1128">
            <v>60285</v>
          </cell>
          <cell r="T1128">
            <v>21000</v>
          </cell>
          <cell r="U1128">
            <v>969798</v>
          </cell>
          <cell r="W1128" t="str">
            <v>GQS</v>
          </cell>
          <cell r="Z1128">
            <v>1051083</v>
          </cell>
          <cell r="AB1128" t="str">
            <v>PANEL</v>
          </cell>
        </row>
        <row r="1129">
          <cell r="S1129">
            <v>25837</v>
          </cell>
          <cell r="T1129">
            <v>21000</v>
          </cell>
          <cell r="U1129">
            <v>0</v>
          </cell>
          <cell r="W1129" t="str">
            <v>GQS</v>
          </cell>
          <cell r="Z1129">
            <v>46837</v>
          </cell>
        </row>
        <row r="1130">
          <cell r="S1130">
            <v>8612</v>
          </cell>
          <cell r="T1130">
            <v>63000</v>
          </cell>
          <cell r="U1130">
            <v>0</v>
          </cell>
          <cell r="W1130" t="str">
            <v>GQS</v>
          </cell>
          <cell r="Z1130">
            <v>71612</v>
          </cell>
        </row>
        <row r="1131">
          <cell r="S1131">
            <v>43061</v>
          </cell>
          <cell r="T1131">
            <v>58800</v>
          </cell>
          <cell r="U1131">
            <v>747347</v>
          </cell>
          <cell r="W1131" t="str">
            <v>GQS</v>
          </cell>
          <cell r="Z1131">
            <v>849208</v>
          </cell>
          <cell r="AB1131" t="str">
            <v>MAIN_UNIT</v>
          </cell>
        </row>
        <row r="1132">
          <cell r="S1132">
            <v>43061</v>
          </cell>
          <cell r="T1132">
            <v>71400</v>
          </cell>
          <cell r="U1132">
            <v>0</v>
          </cell>
          <cell r="W1132" t="str">
            <v>GQS</v>
          </cell>
          <cell r="Z1132">
            <v>114461</v>
          </cell>
        </row>
        <row r="1133">
          <cell r="S1133">
            <v>17224</v>
          </cell>
          <cell r="T1133">
            <v>0</v>
          </cell>
          <cell r="U1133">
            <v>0</v>
          </cell>
          <cell r="W1133" t="str">
            <v>GQS</v>
          </cell>
          <cell r="Z1133">
            <v>17224</v>
          </cell>
        </row>
        <row r="1134">
          <cell r="S1134">
            <v>43061</v>
          </cell>
          <cell r="T1134">
            <v>18900</v>
          </cell>
          <cell r="U1134">
            <v>571492</v>
          </cell>
          <cell r="W1134" t="str">
            <v>GQS</v>
          </cell>
          <cell r="Z1134">
            <v>633453</v>
          </cell>
          <cell r="AB1134" t="str">
            <v>PANEL</v>
          </cell>
        </row>
        <row r="1135">
          <cell r="S1135">
            <v>0</v>
          </cell>
          <cell r="T1135">
            <v>0</v>
          </cell>
          <cell r="U1135">
            <v>0</v>
          </cell>
          <cell r="W1135" t="str">
            <v>GQS</v>
          </cell>
          <cell r="Z1135">
            <v>0</v>
          </cell>
          <cell r="AB1135" t="str">
            <v>MAIN_UNIT</v>
          </cell>
        </row>
        <row r="1136">
          <cell r="S1136">
            <v>86122</v>
          </cell>
          <cell r="T1136">
            <v>42000</v>
          </cell>
          <cell r="U1136">
            <v>939403.00000000012</v>
          </cell>
          <cell r="W1136" t="str">
            <v>GQS</v>
          </cell>
          <cell r="Z1136">
            <v>1067525</v>
          </cell>
          <cell r="AB1136" t="str">
            <v>PANEL</v>
          </cell>
        </row>
        <row r="1137">
          <cell r="S1137">
            <v>0</v>
          </cell>
          <cell r="T1137">
            <v>0</v>
          </cell>
          <cell r="U1137">
            <v>0</v>
          </cell>
          <cell r="W1137" t="str">
            <v>GQS</v>
          </cell>
          <cell r="Z1137">
            <v>0</v>
          </cell>
          <cell r="AB1137" t="str">
            <v>TAPE</v>
          </cell>
        </row>
        <row r="1138">
          <cell r="S1138">
            <v>86122</v>
          </cell>
          <cell r="T1138">
            <v>147000</v>
          </cell>
          <cell r="U1138">
            <v>1373767</v>
          </cell>
          <cell r="W1138" t="str">
            <v>GQS</v>
          </cell>
          <cell r="Z1138">
            <v>1606889</v>
          </cell>
          <cell r="AB1138" t="str">
            <v>PANEL</v>
          </cell>
        </row>
        <row r="1139">
          <cell r="S1139">
            <v>43061</v>
          </cell>
          <cell r="T1139">
            <v>210000</v>
          </cell>
          <cell r="U1139">
            <v>316601</v>
          </cell>
          <cell r="W1139" t="str">
            <v>GQS</v>
          </cell>
          <cell r="Z1139">
            <v>569662</v>
          </cell>
          <cell r="AB1139" t="str">
            <v>MAIN_UNIT</v>
          </cell>
        </row>
        <row r="1140">
          <cell r="S1140">
            <v>25837</v>
          </cell>
          <cell r="T1140">
            <v>21000</v>
          </cell>
          <cell r="U1140">
            <v>0</v>
          </cell>
          <cell r="W1140" t="str">
            <v>GQS</v>
          </cell>
          <cell r="Z1140">
            <v>46837</v>
          </cell>
        </row>
        <row r="1141">
          <cell r="S1141">
            <v>0</v>
          </cell>
          <cell r="T1141">
            <v>0</v>
          </cell>
          <cell r="U1141">
            <v>0</v>
          </cell>
          <cell r="W1141" t="str">
            <v>GQS</v>
          </cell>
          <cell r="Z1141">
            <v>0</v>
          </cell>
          <cell r="AB1141" t="str">
            <v>POWER_UNIT</v>
          </cell>
        </row>
        <row r="1142">
          <cell r="S1142">
            <v>43061</v>
          </cell>
          <cell r="T1142">
            <v>12600</v>
          </cell>
          <cell r="U1142">
            <v>1206678</v>
          </cell>
          <cell r="W1142" t="str">
            <v>GQS</v>
          </cell>
          <cell r="Z1142">
            <v>1262339</v>
          </cell>
          <cell r="AB1142" t="str">
            <v>MAIN_UNIT</v>
          </cell>
        </row>
        <row r="1143">
          <cell r="S1143">
            <v>86122</v>
          </cell>
          <cell r="T1143">
            <v>21000</v>
          </cell>
          <cell r="U1143">
            <v>306123</v>
          </cell>
          <cell r="W1143" t="str">
            <v>GQS</v>
          </cell>
          <cell r="Z1143">
            <v>413245</v>
          </cell>
          <cell r="AB1143" t="str">
            <v>MAIN_UNIT</v>
          </cell>
        </row>
        <row r="1144">
          <cell r="S1144">
            <v>17224</v>
          </cell>
          <cell r="T1144">
            <v>0</v>
          </cell>
          <cell r="U1144">
            <v>0</v>
          </cell>
          <cell r="W1144" t="str">
            <v>GQS</v>
          </cell>
          <cell r="Z1144">
            <v>17224</v>
          </cell>
        </row>
        <row r="1145">
          <cell r="S1145">
            <v>43061</v>
          </cell>
          <cell r="T1145">
            <v>42000</v>
          </cell>
          <cell r="U1145">
            <v>818684</v>
          </cell>
          <cell r="W1145" t="str">
            <v>GQS</v>
          </cell>
          <cell r="Z1145">
            <v>903745</v>
          </cell>
          <cell r="AB1145" t="str">
            <v>MAIN_UNIT</v>
          </cell>
        </row>
        <row r="1146">
          <cell r="S1146">
            <v>0</v>
          </cell>
          <cell r="T1146">
            <v>0</v>
          </cell>
          <cell r="U1146">
            <v>0</v>
          </cell>
          <cell r="W1146" t="str">
            <v>GQS</v>
          </cell>
          <cell r="Z1146">
            <v>0</v>
          </cell>
          <cell r="AB1146" t="str">
            <v>TAPE</v>
          </cell>
        </row>
        <row r="1147">
          <cell r="S1147">
            <v>43061</v>
          </cell>
          <cell r="T1147">
            <v>18900</v>
          </cell>
          <cell r="U1147">
            <v>617523</v>
          </cell>
          <cell r="W1147" t="str">
            <v>GQS</v>
          </cell>
          <cell r="Z1147">
            <v>679484</v>
          </cell>
          <cell r="AB1147" t="str">
            <v>PANEL</v>
          </cell>
        </row>
        <row r="1148">
          <cell r="S1148">
            <v>43061</v>
          </cell>
          <cell r="T1148">
            <v>18900</v>
          </cell>
          <cell r="U1148">
            <v>120302</v>
          </cell>
          <cell r="W1148" t="str">
            <v>GQS</v>
          </cell>
          <cell r="Z1148">
            <v>182263</v>
          </cell>
          <cell r="AB1148" t="str">
            <v>MAIN_UNIT</v>
          </cell>
        </row>
        <row r="1149">
          <cell r="S1149">
            <v>43061</v>
          </cell>
          <cell r="T1149">
            <v>46200</v>
          </cell>
          <cell r="U1149">
            <v>819992</v>
          </cell>
          <cell r="W1149" t="str">
            <v>GQS</v>
          </cell>
          <cell r="Z1149">
            <v>909253</v>
          </cell>
          <cell r="AB1149" t="str">
            <v>PANEL</v>
          </cell>
        </row>
        <row r="1150">
          <cell r="S1150">
            <v>43061</v>
          </cell>
          <cell r="T1150">
            <v>126000</v>
          </cell>
          <cell r="U1150">
            <v>0</v>
          </cell>
          <cell r="W1150" t="str">
            <v>GQS</v>
          </cell>
          <cell r="Z1150">
            <v>169061</v>
          </cell>
        </row>
        <row r="1151">
          <cell r="S1151">
            <v>25837</v>
          </cell>
          <cell r="T1151">
            <v>18900</v>
          </cell>
          <cell r="U1151">
            <v>102457</v>
          </cell>
          <cell r="W1151" t="str">
            <v>GQS</v>
          </cell>
          <cell r="Z1151">
            <v>147194</v>
          </cell>
          <cell r="AB1151" t="str">
            <v>REMOTE_CONTROL</v>
          </cell>
        </row>
        <row r="1152">
          <cell r="S1152">
            <v>8612</v>
          </cell>
          <cell r="T1152">
            <v>8400</v>
          </cell>
          <cell r="U1152">
            <v>0</v>
          </cell>
          <cell r="W1152" t="str">
            <v>GQS</v>
          </cell>
          <cell r="Z1152">
            <v>17012</v>
          </cell>
        </row>
        <row r="1153">
          <cell r="S1153">
            <v>43061</v>
          </cell>
          <cell r="T1153">
            <v>31500</v>
          </cell>
          <cell r="U1153">
            <v>522997</v>
          </cell>
          <cell r="W1153" t="str">
            <v>GQS</v>
          </cell>
          <cell r="Z1153">
            <v>597558</v>
          </cell>
          <cell r="AB1153" t="str">
            <v>PANEL</v>
          </cell>
        </row>
        <row r="1154">
          <cell r="S1154">
            <v>0</v>
          </cell>
          <cell r="T1154">
            <v>0</v>
          </cell>
          <cell r="U1154">
            <v>0</v>
          </cell>
          <cell r="W1154" t="str">
            <v>GQS</v>
          </cell>
          <cell r="Z1154">
            <v>0</v>
          </cell>
          <cell r="AB1154" t="str">
            <v>TAPE</v>
          </cell>
        </row>
        <row r="1155">
          <cell r="S1155">
            <v>0</v>
          </cell>
          <cell r="T1155">
            <v>0</v>
          </cell>
          <cell r="U1155">
            <v>0</v>
          </cell>
          <cell r="W1155" t="str">
            <v>GQS</v>
          </cell>
          <cell r="Z1155">
            <v>0</v>
          </cell>
          <cell r="AB1155" t="str">
            <v>MAIN_UNIT</v>
          </cell>
        </row>
        <row r="1156">
          <cell r="S1156">
            <v>86122</v>
          </cell>
          <cell r="T1156">
            <v>42000</v>
          </cell>
          <cell r="U1156">
            <v>939756</v>
          </cell>
          <cell r="W1156" t="str">
            <v>GQS</v>
          </cell>
          <cell r="Z1156">
            <v>1067878</v>
          </cell>
          <cell r="AB1156" t="str">
            <v>PANEL</v>
          </cell>
        </row>
        <row r="1157">
          <cell r="S1157">
            <v>17224</v>
          </cell>
          <cell r="T1157">
            <v>21000</v>
          </cell>
          <cell r="U1157">
            <v>0</v>
          </cell>
          <cell r="W1157" t="str">
            <v>GQS</v>
          </cell>
          <cell r="Z1157">
            <v>38224</v>
          </cell>
        </row>
        <row r="1158">
          <cell r="S1158">
            <v>43061</v>
          </cell>
          <cell r="T1158">
            <v>4200</v>
          </cell>
          <cell r="U1158">
            <v>590660</v>
          </cell>
          <cell r="W1158" t="str">
            <v>GQS</v>
          </cell>
          <cell r="Z1158">
            <v>637921</v>
          </cell>
          <cell r="AB1158" t="str">
            <v>PANEL</v>
          </cell>
        </row>
        <row r="1159">
          <cell r="S1159">
            <v>0</v>
          </cell>
          <cell r="T1159">
            <v>0</v>
          </cell>
          <cell r="U1159">
            <v>0</v>
          </cell>
          <cell r="W1159" t="str">
            <v>GQS</v>
          </cell>
          <cell r="Z1159">
            <v>0</v>
          </cell>
          <cell r="AB1159" t="str">
            <v>REMOTE_CONTROL</v>
          </cell>
        </row>
        <row r="1160">
          <cell r="S1160">
            <v>25837</v>
          </cell>
          <cell r="T1160">
            <v>39900</v>
          </cell>
          <cell r="U1160">
            <v>610638</v>
          </cell>
          <cell r="W1160" t="str">
            <v>GQS</v>
          </cell>
          <cell r="Z1160">
            <v>676375</v>
          </cell>
          <cell r="AB1160" t="str">
            <v>MAIN_UNIT</v>
          </cell>
        </row>
        <row r="1161">
          <cell r="S1161">
            <v>43061</v>
          </cell>
          <cell r="T1161">
            <v>16800</v>
          </cell>
          <cell r="U1161">
            <v>297603</v>
          </cell>
          <cell r="W1161" t="str">
            <v>GQS</v>
          </cell>
          <cell r="Z1161">
            <v>357464</v>
          </cell>
          <cell r="AB1161" t="str">
            <v>MAIN_UNIT</v>
          </cell>
        </row>
        <row r="1162">
          <cell r="S1162">
            <v>43061</v>
          </cell>
          <cell r="T1162">
            <v>52500</v>
          </cell>
          <cell r="U1162">
            <v>522997</v>
          </cell>
          <cell r="W1162" t="str">
            <v>GQS</v>
          </cell>
          <cell r="Z1162">
            <v>618558</v>
          </cell>
          <cell r="AB1162" t="str">
            <v>PANEL</v>
          </cell>
        </row>
        <row r="1163">
          <cell r="S1163">
            <v>86122</v>
          </cell>
          <cell r="T1163">
            <v>21000</v>
          </cell>
          <cell r="U1163">
            <v>969798</v>
          </cell>
          <cell r="W1163" t="str">
            <v>GQS</v>
          </cell>
          <cell r="Z1163">
            <v>1076920</v>
          </cell>
          <cell r="AB1163" t="str">
            <v>PANEL</v>
          </cell>
        </row>
        <row r="1164">
          <cell r="S1164">
            <v>43061</v>
          </cell>
          <cell r="T1164">
            <v>50400</v>
          </cell>
          <cell r="U1164">
            <v>325972</v>
          </cell>
          <cell r="W1164" t="str">
            <v>GQS</v>
          </cell>
          <cell r="Z1164">
            <v>419433</v>
          </cell>
          <cell r="AB1164" t="str">
            <v>MAIN_UNIT</v>
          </cell>
        </row>
        <row r="1165">
          <cell r="S1165">
            <v>43061</v>
          </cell>
          <cell r="T1165">
            <v>21000</v>
          </cell>
          <cell r="U1165">
            <v>56017.999999999993</v>
          </cell>
          <cell r="W1165" t="str">
            <v>GQS</v>
          </cell>
          <cell r="Z1165">
            <v>120079</v>
          </cell>
          <cell r="AB1165" t="str">
            <v>REMOTE_CONTROL</v>
          </cell>
        </row>
        <row r="1166">
          <cell r="S1166">
            <v>43061</v>
          </cell>
          <cell r="T1166">
            <v>37800</v>
          </cell>
          <cell r="U1166">
            <v>614888</v>
          </cell>
          <cell r="W1166" t="str">
            <v>GQS</v>
          </cell>
          <cell r="Z1166">
            <v>695749</v>
          </cell>
          <cell r="AB1166" t="str">
            <v>MAIN_UNIT</v>
          </cell>
        </row>
        <row r="1167">
          <cell r="S1167">
            <v>86122</v>
          </cell>
          <cell r="T1167">
            <v>18900</v>
          </cell>
          <cell r="U1167">
            <v>107745</v>
          </cell>
          <cell r="W1167" t="str">
            <v>GQS</v>
          </cell>
          <cell r="Z1167">
            <v>212767</v>
          </cell>
          <cell r="AB1167" t="str">
            <v>MAIN_UNIT</v>
          </cell>
        </row>
        <row r="1168">
          <cell r="S1168">
            <v>43061</v>
          </cell>
          <cell r="T1168">
            <v>0</v>
          </cell>
          <cell r="U1168">
            <v>0</v>
          </cell>
          <cell r="W1168" t="str">
            <v>GQS</v>
          </cell>
          <cell r="Z1168">
            <v>43061</v>
          </cell>
        </row>
        <row r="1169">
          <cell r="S1169">
            <v>43061</v>
          </cell>
          <cell r="T1169">
            <v>0</v>
          </cell>
          <cell r="U1169">
            <v>0</v>
          </cell>
          <cell r="W1169" t="str">
            <v>GQS</v>
          </cell>
          <cell r="Z1169">
            <v>43061</v>
          </cell>
        </row>
        <row r="1170">
          <cell r="S1170">
            <v>8612</v>
          </cell>
          <cell r="T1170">
            <v>0</v>
          </cell>
          <cell r="U1170">
            <v>0</v>
          </cell>
          <cell r="W1170" t="str">
            <v>GQS</v>
          </cell>
          <cell r="Z1170">
            <v>8612</v>
          </cell>
        </row>
        <row r="1171">
          <cell r="S1171">
            <v>43061</v>
          </cell>
          <cell r="T1171">
            <v>58800</v>
          </cell>
          <cell r="U1171">
            <v>610638</v>
          </cell>
          <cell r="W1171" t="str">
            <v>GQS</v>
          </cell>
          <cell r="Z1171">
            <v>712499</v>
          </cell>
          <cell r="AB1171" t="str">
            <v>MAIN_UNIT</v>
          </cell>
        </row>
        <row r="1172">
          <cell r="S1172">
            <v>51673</v>
          </cell>
          <cell r="T1172">
            <v>16800</v>
          </cell>
          <cell r="U1172">
            <v>571491</v>
          </cell>
          <cell r="W1172" t="str">
            <v>GQS</v>
          </cell>
          <cell r="Z1172">
            <v>639964</v>
          </cell>
          <cell r="AB1172" t="str">
            <v>PANEL</v>
          </cell>
        </row>
        <row r="1173">
          <cell r="S1173">
            <v>0</v>
          </cell>
          <cell r="T1173">
            <v>0</v>
          </cell>
          <cell r="U1173">
            <v>0</v>
          </cell>
          <cell r="W1173" t="str">
            <v>GQS</v>
          </cell>
          <cell r="Z1173">
            <v>0</v>
          </cell>
          <cell r="AB1173" t="str">
            <v>TAPE</v>
          </cell>
        </row>
        <row r="1174">
          <cell r="S1174">
            <v>86122</v>
          </cell>
          <cell r="T1174">
            <v>157500</v>
          </cell>
          <cell r="U1174">
            <v>617523</v>
          </cell>
          <cell r="W1174" t="str">
            <v>GQS</v>
          </cell>
          <cell r="Z1174">
            <v>861145</v>
          </cell>
          <cell r="AB1174" t="str">
            <v>PANEL</v>
          </cell>
        </row>
        <row r="1175">
          <cell r="S1175">
            <v>8612</v>
          </cell>
          <cell r="T1175">
            <v>0</v>
          </cell>
          <cell r="U1175">
            <v>0</v>
          </cell>
          <cell r="W1175" t="str">
            <v>GQS</v>
          </cell>
          <cell r="Z1175">
            <v>8612</v>
          </cell>
        </row>
        <row r="1176">
          <cell r="S1176">
            <v>43061</v>
          </cell>
          <cell r="T1176">
            <v>6300</v>
          </cell>
          <cell r="U1176">
            <v>639466</v>
          </cell>
          <cell r="W1176" t="str">
            <v>GQS</v>
          </cell>
          <cell r="Z1176">
            <v>688827</v>
          </cell>
          <cell r="AB1176" t="str">
            <v>PANEL</v>
          </cell>
        </row>
        <row r="1177">
          <cell r="S1177">
            <v>0</v>
          </cell>
          <cell r="T1177">
            <v>0</v>
          </cell>
          <cell r="U1177">
            <v>0</v>
          </cell>
          <cell r="W1177" t="str">
            <v>GQS</v>
          </cell>
          <cell r="Z1177">
            <v>0</v>
          </cell>
          <cell r="AB1177" t="str">
            <v>TAPE</v>
          </cell>
        </row>
        <row r="1178">
          <cell r="S1178">
            <v>8612</v>
          </cell>
          <cell r="T1178">
            <v>0</v>
          </cell>
          <cell r="U1178">
            <v>0</v>
          </cell>
          <cell r="W1178" t="str">
            <v>GQS</v>
          </cell>
          <cell r="Z1178">
            <v>8612</v>
          </cell>
        </row>
        <row r="1179">
          <cell r="S1179">
            <v>43061</v>
          </cell>
          <cell r="T1179">
            <v>12600</v>
          </cell>
          <cell r="U1179">
            <v>0</v>
          </cell>
          <cell r="W1179" t="str">
            <v>GQS</v>
          </cell>
          <cell r="Z1179">
            <v>55661</v>
          </cell>
        </row>
        <row r="1180">
          <cell r="S1180">
            <v>8612</v>
          </cell>
          <cell r="T1180">
            <v>0</v>
          </cell>
          <cell r="U1180">
            <v>0</v>
          </cell>
          <cell r="W1180" t="str">
            <v>GQS</v>
          </cell>
          <cell r="Z1180">
            <v>8612</v>
          </cell>
        </row>
        <row r="1181">
          <cell r="S1181">
            <v>43061</v>
          </cell>
          <cell r="T1181">
            <v>52500</v>
          </cell>
          <cell r="U1181">
            <v>0</v>
          </cell>
          <cell r="W1181" t="str">
            <v>GQS</v>
          </cell>
          <cell r="Z1181">
            <v>95561</v>
          </cell>
        </row>
        <row r="1182">
          <cell r="S1182">
            <v>0</v>
          </cell>
          <cell r="T1182">
            <v>0</v>
          </cell>
          <cell r="U1182">
            <v>0</v>
          </cell>
          <cell r="W1182" t="str">
            <v>GQS</v>
          </cell>
          <cell r="Z1182">
            <v>0</v>
          </cell>
          <cell r="AB1182" t="str">
            <v>MAIN_UNIT</v>
          </cell>
        </row>
        <row r="1183">
          <cell r="S1183">
            <v>43061</v>
          </cell>
          <cell r="T1183">
            <v>16800</v>
          </cell>
          <cell r="U1183">
            <v>986260</v>
          </cell>
          <cell r="W1183" t="str">
            <v>GQS</v>
          </cell>
          <cell r="Z1183">
            <v>1046121</v>
          </cell>
          <cell r="AB1183" t="str">
            <v>PANEL</v>
          </cell>
        </row>
        <row r="1184">
          <cell r="S1184">
            <v>51673</v>
          </cell>
          <cell r="T1184">
            <v>29400</v>
          </cell>
          <cell r="U1184">
            <v>12469</v>
          </cell>
          <cell r="W1184" t="str">
            <v>GQS</v>
          </cell>
          <cell r="Z1184">
            <v>93542</v>
          </cell>
          <cell r="AB1184" t="str">
            <v>REMOTE_CONTROL</v>
          </cell>
        </row>
        <row r="1185">
          <cell r="S1185">
            <v>43061</v>
          </cell>
          <cell r="T1185">
            <v>63000</v>
          </cell>
          <cell r="U1185">
            <v>0</v>
          </cell>
          <cell r="W1185" t="str">
            <v>GQS</v>
          </cell>
          <cell r="Z1185">
            <v>106061</v>
          </cell>
        </row>
        <row r="1186">
          <cell r="S1186">
            <v>86122</v>
          </cell>
          <cell r="T1186">
            <v>21000</v>
          </cell>
          <cell r="U1186">
            <v>36706</v>
          </cell>
          <cell r="W1186" t="str">
            <v>GQS</v>
          </cell>
          <cell r="Z1186">
            <v>143828</v>
          </cell>
          <cell r="AB1186" t="str">
            <v>LVDS_WIRE</v>
          </cell>
        </row>
        <row r="1187">
          <cell r="S1187">
            <v>86122</v>
          </cell>
          <cell r="T1187">
            <v>21000</v>
          </cell>
          <cell r="U1187">
            <v>36706</v>
          </cell>
          <cell r="W1187" t="str">
            <v>GQS</v>
          </cell>
          <cell r="Z1187">
            <v>143828</v>
          </cell>
          <cell r="AB1187" t="str">
            <v>LVDS_WIRE</v>
          </cell>
        </row>
        <row r="1188">
          <cell r="S1188">
            <v>43061</v>
          </cell>
          <cell r="T1188">
            <v>52500</v>
          </cell>
          <cell r="U1188">
            <v>6077</v>
          </cell>
          <cell r="W1188" t="str">
            <v>GQS</v>
          </cell>
          <cell r="Z1188">
            <v>101638</v>
          </cell>
          <cell r="AB1188" t="str">
            <v>FFC_WIRE</v>
          </cell>
        </row>
        <row r="1189">
          <cell r="S1189">
            <v>43061</v>
          </cell>
          <cell r="T1189">
            <v>21000</v>
          </cell>
          <cell r="U1189">
            <v>0</v>
          </cell>
          <cell r="W1189" t="str">
            <v>GQS</v>
          </cell>
          <cell r="Z1189">
            <v>64061</v>
          </cell>
        </row>
        <row r="1190">
          <cell r="S1190">
            <v>51673</v>
          </cell>
          <cell r="T1190">
            <v>63000</v>
          </cell>
          <cell r="U1190">
            <v>316600</v>
          </cell>
          <cell r="W1190" t="str">
            <v>GQS</v>
          </cell>
          <cell r="Z1190">
            <v>431273</v>
          </cell>
          <cell r="AB1190" t="str">
            <v>MAIN_UNIT</v>
          </cell>
        </row>
        <row r="1191">
          <cell r="S1191">
            <v>43061</v>
          </cell>
          <cell r="T1191">
            <v>6300</v>
          </cell>
          <cell r="U1191">
            <v>639820</v>
          </cell>
          <cell r="W1191" t="str">
            <v>GQS</v>
          </cell>
          <cell r="Z1191">
            <v>689181</v>
          </cell>
          <cell r="AB1191" t="str">
            <v>PANEL</v>
          </cell>
        </row>
        <row r="1192">
          <cell r="S1192">
            <v>0</v>
          </cell>
          <cell r="T1192">
            <v>0</v>
          </cell>
          <cell r="U1192">
            <v>0</v>
          </cell>
          <cell r="W1192" t="str">
            <v>GQS</v>
          </cell>
          <cell r="Z1192">
            <v>0</v>
          </cell>
          <cell r="AB1192" t="str">
            <v>TAPE</v>
          </cell>
        </row>
        <row r="1193">
          <cell r="S1193">
            <v>86122</v>
          </cell>
          <cell r="T1193">
            <v>21000</v>
          </cell>
          <cell r="U1193">
            <v>743508</v>
          </cell>
          <cell r="W1193" t="str">
            <v>GQS</v>
          </cell>
          <cell r="Z1193">
            <v>850630</v>
          </cell>
          <cell r="AB1193" t="str">
            <v>MAIN_UNIT</v>
          </cell>
        </row>
        <row r="1194">
          <cell r="S1194">
            <v>0</v>
          </cell>
          <cell r="T1194">
            <v>0</v>
          </cell>
          <cell r="U1194">
            <v>0</v>
          </cell>
          <cell r="W1194" t="str">
            <v>GQS</v>
          </cell>
          <cell r="Z1194">
            <v>0</v>
          </cell>
          <cell r="AB1194" t="str">
            <v>POWER_UNIT</v>
          </cell>
        </row>
        <row r="1195">
          <cell r="S1195">
            <v>86122</v>
          </cell>
          <cell r="T1195">
            <v>31500</v>
          </cell>
          <cell r="U1195">
            <v>522996</v>
          </cell>
          <cell r="W1195" t="str">
            <v>GQS</v>
          </cell>
          <cell r="Z1195">
            <v>640618</v>
          </cell>
          <cell r="AB1195" t="str">
            <v>PANEL</v>
          </cell>
        </row>
        <row r="1196">
          <cell r="S1196">
            <v>43061</v>
          </cell>
          <cell r="T1196">
            <v>2100</v>
          </cell>
          <cell r="U1196">
            <v>490572</v>
          </cell>
          <cell r="W1196" t="str">
            <v>GQS</v>
          </cell>
          <cell r="Z1196">
            <v>535733</v>
          </cell>
          <cell r="AB1196" t="str">
            <v>POWER_UNIT</v>
          </cell>
        </row>
        <row r="1197">
          <cell r="S1197">
            <v>77510</v>
          </cell>
          <cell r="T1197">
            <v>33600</v>
          </cell>
          <cell r="U1197">
            <v>691906</v>
          </cell>
          <cell r="W1197" t="str">
            <v>GQS</v>
          </cell>
          <cell r="Z1197">
            <v>803016</v>
          </cell>
          <cell r="AB1197" t="str">
            <v>MAIN_UNIT</v>
          </cell>
        </row>
        <row r="1198">
          <cell r="S1198">
            <v>43061</v>
          </cell>
          <cell r="T1198">
            <v>31500</v>
          </cell>
          <cell r="U1198">
            <v>522997</v>
          </cell>
          <cell r="W1198" t="str">
            <v>GQS</v>
          </cell>
          <cell r="Z1198">
            <v>597558</v>
          </cell>
          <cell r="AB1198" t="str">
            <v>PANEL</v>
          </cell>
        </row>
        <row r="1199">
          <cell r="S1199">
            <v>0</v>
          </cell>
          <cell r="T1199">
            <v>0</v>
          </cell>
          <cell r="U1199">
            <v>0</v>
          </cell>
          <cell r="W1199" t="str">
            <v>GQS</v>
          </cell>
          <cell r="Z1199">
            <v>0</v>
          </cell>
          <cell r="AB1199" t="str">
            <v>PART_KIT</v>
          </cell>
        </row>
        <row r="1200">
          <cell r="S1200">
            <v>86122</v>
          </cell>
          <cell r="T1200">
            <v>21000</v>
          </cell>
          <cell r="U1200">
            <v>1820478</v>
          </cell>
          <cell r="W1200" t="str">
            <v>GQS</v>
          </cell>
          <cell r="Z1200">
            <v>1927600</v>
          </cell>
          <cell r="AB1200" t="str">
            <v>PANEL</v>
          </cell>
        </row>
        <row r="1201">
          <cell r="S1201">
            <v>0</v>
          </cell>
          <cell r="T1201">
            <v>0</v>
          </cell>
          <cell r="U1201">
            <v>0</v>
          </cell>
          <cell r="W1201" t="str">
            <v>GQS</v>
          </cell>
          <cell r="Z1201">
            <v>0</v>
          </cell>
          <cell r="AB1201" t="str">
            <v>LVDS_WIRE</v>
          </cell>
        </row>
        <row r="1202">
          <cell r="S1202">
            <v>0</v>
          </cell>
          <cell r="T1202">
            <v>0</v>
          </cell>
          <cell r="U1202">
            <v>0</v>
          </cell>
          <cell r="W1202" t="str">
            <v>GQS</v>
          </cell>
          <cell r="Z1202">
            <v>0</v>
          </cell>
          <cell r="AB1202" t="str">
            <v>TCON_UNIT</v>
          </cell>
        </row>
        <row r="1203">
          <cell r="S1203">
            <v>43061</v>
          </cell>
          <cell r="T1203">
            <v>60900</v>
          </cell>
          <cell r="U1203">
            <v>80829</v>
          </cell>
          <cell r="W1203" t="str">
            <v>GQS</v>
          </cell>
          <cell r="Z1203">
            <v>184790</v>
          </cell>
          <cell r="AB1203" t="str">
            <v>POWER_UNIT</v>
          </cell>
        </row>
        <row r="1204">
          <cell r="S1204">
            <v>86122</v>
          </cell>
          <cell r="T1204">
            <v>21000</v>
          </cell>
          <cell r="U1204">
            <v>113226</v>
          </cell>
          <cell r="W1204" t="str">
            <v>GQS</v>
          </cell>
          <cell r="Z1204">
            <v>220348</v>
          </cell>
          <cell r="AB1204" t="str">
            <v>MAIN_UNIT</v>
          </cell>
        </row>
        <row r="1205">
          <cell r="S1205">
            <v>8612</v>
          </cell>
          <cell r="T1205">
            <v>0</v>
          </cell>
          <cell r="U1205">
            <v>0</v>
          </cell>
          <cell r="W1205" t="str">
            <v>GQS</v>
          </cell>
          <cell r="Z1205">
            <v>8612</v>
          </cell>
        </row>
        <row r="1206">
          <cell r="S1206">
            <v>43061</v>
          </cell>
          <cell r="T1206">
            <v>170100</v>
          </cell>
          <cell r="U1206">
            <v>299936</v>
          </cell>
          <cell r="W1206" t="str">
            <v>GQS</v>
          </cell>
          <cell r="Z1206">
            <v>513097</v>
          </cell>
          <cell r="AB1206" t="str">
            <v>MAIN_UNIT</v>
          </cell>
        </row>
        <row r="1207">
          <cell r="S1207">
            <v>86122</v>
          </cell>
          <cell r="T1207">
            <v>21000</v>
          </cell>
          <cell r="U1207">
            <v>297604</v>
          </cell>
          <cell r="W1207" t="str">
            <v>GQS</v>
          </cell>
          <cell r="Z1207">
            <v>404726</v>
          </cell>
          <cell r="AB1207" t="str">
            <v>MAIN_UNIT</v>
          </cell>
        </row>
        <row r="1208">
          <cell r="S1208">
            <v>43061</v>
          </cell>
          <cell r="T1208">
            <v>12600</v>
          </cell>
          <cell r="U1208">
            <v>299936</v>
          </cell>
          <cell r="W1208" t="str">
            <v>GQS</v>
          </cell>
          <cell r="Z1208">
            <v>355597</v>
          </cell>
          <cell r="AB1208" t="str">
            <v>MAIN_UNIT</v>
          </cell>
        </row>
        <row r="1209">
          <cell r="S1209">
            <v>0</v>
          </cell>
          <cell r="T1209">
            <v>0</v>
          </cell>
          <cell r="U1209">
            <v>0</v>
          </cell>
          <cell r="W1209" t="str">
            <v>GQS</v>
          </cell>
          <cell r="Z1209">
            <v>0</v>
          </cell>
          <cell r="AB1209" t="str">
            <v>TAPE</v>
          </cell>
        </row>
        <row r="1210">
          <cell r="S1210">
            <v>86122</v>
          </cell>
          <cell r="T1210">
            <v>42000</v>
          </cell>
          <cell r="U1210">
            <v>666364</v>
          </cell>
          <cell r="W1210" t="str">
            <v>GQS</v>
          </cell>
          <cell r="Z1210">
            <v>794486</v>
          </cell>
          <cell r="AB1210" t="str">
            <v>PANEL</v>
          </cell>
        </row>
        <row r="1211">
          <cell r="S1211">
            <v>51673</v>
          </cell>
          <cell r="T1211">
            <v>50400</v>
          </cell>
          <cell r="U1211">
            <v>670638</v>
          </cell>
          <cell r="W1211" t="str">
            <v>GQS</v>
          </cell>
          <cell r="Z1211">
            <v>772711</v>
          </cell>
          <cell r="AB1211" t="str">
            <v>MAIN_UNIT</v>
          </cell>
        </row>
        <row r="1212">
          <cell r="S1212">
            <v>0</v>
          </cell>
          <cell r="T1212">
            <v>0</v>
          </cell>
          <cell r="U1212">
            <v>0</v>
          </cell>
          <cell r="W1212" t="str">
            <v>GQS</v>
          </cell>
          <cell r="Z1212">
            <v>0</v>
          </cell>
          <cell r="AB1212" t="str">
            <v>LED_BAR</v>
          </cell>
        </row>
        <row r="1213">
          <cell r="S1213">
            <v>43061</v>
          </cell>
          <cell r="T1213">
            <v>21000</v>
          </cell>
          <cell r="U1213">
            <v>0</v>
          </cell>
          <cell r="W1213" t="str">
            <v>GQS</v>
          </cell>
          <cell r="Z1213">
            <v>64061</v>
          </cell>
        </row>
        <row r="1214">
          <cell r="S1214">
            <v>34449</v>
          </cell>
          <cell r="T1214">
            <v>50400</v>
          </cell>
          <cell r="U1214">
            <v>550000</v>
          </cell>
          <cell r="W1214" t="str">
            <v>GQS</v>
          </cell>
          <cell r="Z1214">
            <v>634849</v>
          </cell>
          <cell r="AB1214" t="str">
            <v>PANEL</v>
          </cell>
        </row>
        <row r="1215">
          <cell r="S1215">
            <v>68898</v>
          </cell>
          <cell r="T1215">
            <v>142800</v>
          </cell>
          <cell r="U1215">
            <v>12469</v>
          </cell>
          <cell r="W1215" t="str">
            <v>GQS</v>
          </cell>
          <cell r="Z1215">
            <v>224167</v>
          </cell>
          <cell r="AB1215" t="str">
            <v>REMOTE_CONTROL</v>
          </cell>
        </row>
        <row r="1216">
          <cell r="S1216">
            <v>34449</v>
          </cell>
          <cell r="T1216">
            <v>115500</v>
          </cell>
          <cell r="U1216">
            <v>602572</v>
          </cell>
          <cell r="W1216" t="str">
            <v>GQS</v>
          </cell>
          <cell r="Z1216">
            <v>752521</v>
          </cell>
          <cell r="AB1216" t="str">
            <v>MAIN_UNIT</v>
          </cell>
        </row>
        <row r="1217">
          <cell r="S1217">
            <v>43061</v>
          </cell>
          <cell r="T1217">
            <v>21000</v>
          </cell>
          <cell r="U1217">
            <v>0</v>
          </cell>
          <cell r="W1217" t="str">
            <v>GQS</v>
          </cell>
          <cell r="Z1217">
            <v>64061</v>
          </cell>
        </row>
        <row r="1218">
          <cell r="S1218">
            <v>17224</v>
          </cell>
          <cell r="T1218">
            <v>21000</v>
          </cell>
          <cell r="U1218">
            <v>0</v>
          </cell>
          <cell r="W1218" t="str">
            <v>GQS</v>
          </cell>
          <cell r="Z1218">
            <v>38224</v>
          </cell>
        </row>
        <row r="1219">
          <cell r="S1219">
            <v>86122</v>
          </cell>
          <cell r="T1219">
            <v>21000</v>
          </cell>
          <cell r="U1219">
            <v>1461724</v>
          </cell>
          <cell r="W1219" t="str">
            <v>GQS</v>
          </cell>
          <cell r="Z1219">
            <v>1568846</v>
          </cell>
          <cell r="AB1219" t="str">
            <v>PANEL</v>
          </cell>
        </row>
        <row r="1220">
          <cell r="S1220">
            <v>8612</v>
          </cell>
          <cell r="T1220">
            <v>0</v>
          </cell>
          <cell r="U1220">
            <v>0</v>
          </cell>
          <cell r="W1220" t="str">
            <v>GQS</v>
          </cell>
          <cell r="Z1220">
            <v>8612</v>
          </cell>
        </row>
        <row r="1221">
          <cell r="S1221">
            <v>0</v>
          </cell>
          <cell r="T1221">
            <v>0</v>
          </cell>
          <cell r="U1221">
            <v>0</v>
          </cell>
          <cell r="W1221" t="str">
            <v>GQS</v>
          </cell>
          <cell r="Z1221">
            <v>0</v>
          </cell>
          <cell r="AB1221" t="str">
            <v>TCON_UNIT</v>
          </cell>
        </row>
        <row r="1222">
          <cell r="S1222">
            <v>43061</v>
          </cell>
          <cell r="T1222">
            <v>12600</v>
          </cell>
          <cell r="U1222">
            <v>1820477</v>
          </cell>
          <cell r="W1222" t="str">
            <v>GQS</v>
          </cell>
          <cell r="Z1222">
            <v>1876138</v>
          </cell>
          <cell r="AB1222" t="str">
            <v>PANEL</v>
          </cell>
        </row>
        <row r="1223">
          <cell r="S1223">
            <v>0</v>
          </cell>
          <cell r="T1223">
            <v>0</v>
          </cell>
          <cell r="U1223">
            <v>0</v>
          </cell>
          <cell r="W1223" t="str">
            <v>GQS</v>
          </cell>
          <cell r="Z1223">
            <v>0</v>
          </cell>
          <cell r="AB1223" t="str">
            <v>PART_KIT</v>
          </cell>
        </row>
        <row r="1224">
          <cell r="S1224">
            <v>0</v>
          </cell>
          <cell r="T1224">
            <v>0</v>
          </cell>
          <cell r="U1224">
            <v>0</v>
          </cell>
          <cell r="W1224" t="str">
            <v>GQS</v>
          </cell>
          <cell r="Z1224">
            <v>0</v>
          </cell>
          <cell r="AB1224" t="str">
            <v>LVDS_WIRE</v>
          </cell>
        </row>
        <row r="1225">
          <cell r="S1225">
            <v>51673</v>
          </cell>
          <cell r="T1225">
            <v>56700</v>
          </cell>
          <cell r="U1225">
            <v>818684</v>
          </cell>
          <cell r="W1225" t="str">
            <v>GQS</v>
          </cell>
          <cell r="Z1225">
            <v>927057</v>
          </cell>
          <cell r="AB1225" t="str">
            <v>MAIN_UNIT</v>
          </cell>
        </row>
        <row r="1226">
          <cell r="S1226">
            <v>43061</v>
          </cell>
          <cell r="T1226">
            <v>42000</v>
          </cell>
          <cell r="U1226">
            <v>494075</v>
          </cell>
          <cell r="W1226" t="str">
            <v>GQS</v>
          </cell>
          <cell r="Z1226">
            <v>579136</v>
          </cell>
          <cell r="AB1226" t="str">
            <v>MAIN_UNIT</v>
          </cell>
        </row>
        <row r="1227">
          <cell r="S1227">
            <v>51673</v>
          </cell>
          <cell r="T1227">
            <v>16800</v>
          </cell>
          <cell r="U1227">
            <v>409443</v>
          </cell>
          <cell r="W1227" t="str">
            <v>GQS</v>
          </cell>
          <cell r="Z1227">
            <v>477916</v>
          </cell>
          <cell r="AB1227" t="str">
            <v>MAIN_UNIT</v>
          </cell>
        </row>
        <row r="1228">
          <cell r="S1228">
            <v>60285</v>
          </cell>
          <cell r="T1228">
            <v>31500</v>
          </cell>
          <cell r="U1228">
            <v>5507567</v>
          </cell>
          <cell r="W1228" t="str">
            <v>GQS</v>
          </cell>
          <cell r="Z1228">
            <v>5599352</v>
          </cell>
          <cell r="AB1228" t="str">
            <v>PANEL</v>
          </cell>
        </row>
        <row r="1229">
          <cell r="S1229">
            <v>51673</v>
          </cell>
          <cell r="T1229">
            <v>37800</v>
          </cell>
          <cell r="U1229">
            <v>490572</v>
          </cell>
          <cell r="W1229" t="str">
            <v>GQS</v>
          </cell>
          <cell r="Z1229">
            <v>580045</v>
          </cell>
          <cell r="AB1229" t="str">
            <v>POWER_UNIT</v>
          </cell>
        </row>
        <row r="1230">
          <cell r="S1230">
            <v>94734</v>
          </cell>
          <cell r="T1230">
            <v>65100</v>
          </cell>
          <cell r="U1230">
            <v>113226</v>
          </cell>
          <cell r="W1230" t="str">
            <v>GQS</v>
          </cell>
          <cell r="Z1230">
            <v>273060</v>
          </cell>
          <cell r="AB1230" t="str">
            <v>MAIN_UNIT</v>
          </cell>
        </row>
        <row r="1231">
          <cell r="S1231">
            <v>86122</v>
          </cell>
          <cell r="T1231">
            <v>21000</v>
          </cell>
          <cell r="U1231">
            <v>105000</v>
          </cell>
          <cell r="W1231" t="str">
            <v>GQS</v>
          </cell>
          <cell r="Z1231">
            <v>212122</v>
          </cell>
          <cell r="AB1231" t="str">
            <v>PART_KIT</v>
          </cell>
        </row>
        <row r="1232">
          <cell r="S1232">
            <v>43061</v>
          </cell>
          <cell r="T1232">
            <v>189000</v>
          </cell>
          <cell r="U1232">
            <v>0</v>
          </cell>
          <cell r="W1232" t="str">
            <v>GQS</v>
          </cell>
          <cell r="Z1232">
            <v>232061</v>
          </cell>
        </row>
        <row r="1233">
          <cell r="S1233">
            <v>43061</v>
          </cell>
          <cell r="T1233">
            <v>31500</v>
          </cell>
          <cell r="U1233">
            <v>299936</v>
          </cell>
          <cell r="W1233" t="str">
            <v>GQS</v>
          </cell>
          <cell r="Z1233">
            <v>374497</v>
          </cell>
          <cell r="AB1233" t="str">
            <v>MAIN_UNIT</v>
          </cell>
        </row>
        <row r="1234">
          <cell r="S1234">
            <v>68898</v>
          </cell>
          <cell r="T1234">
            <v>31500</v>
          </cell>
          <cell r="U1234">
            <v>636272</v>
          </cell>
          <cell r="W1234" t="str">
            <v>GQS</v>
          </cell>
          <cell r="Z1234">
            <v>736670</v>
          </cell>
          <cell r="AB1234" t="str">
            <v>PANEL</v>
          </cell>
        </row>
        <row r="1235">
          <cell r="S1235">
            <v>0</v>
          </cell>
          <cell r="T1235">
            <v>0</v>
          </cell>
          <cell r="U1235">
            <v>0</v>
          </cell>
          <cell r="W1235" t="str">
            <v>GQS</v>
          </cell>
          <cell r="Z1235">
            <v>0</v>
          </cell>
          <cell r="AB1235" t="str">
            <v>MAIN_UNIT</v>
          </cell>
        </row>
        <row r="1236">
          <cell r="S1236">
            <v>8612</v>
          </cell>
          <cell r="T1236">
            <v>52500</v>
          </cell>
          <cell r="U1236">
            <v>0</v>
          </cell>
          <cell r="W1236" t="str">
            <v>GQS</v>
          </cell>
          <cell r="Z1236">
            <v>61112</v>
          </cell>
        </row>
        <row r="1237">
          <cell r="S1237">
            <v>86122</v>
          </cell>
          <cell r="T1237">
            <v>107100</v>
          </cell>
          <cell r="U1237">
            <v>490572</v>
          </cell>
          <cell r="W1237" t="str">
            <v>GQS</v>
          </cell>
          <cell r="Z1237">
            <v>683794</v>
          </cell>
          <cell r="AB1237" t="str">
            <v>POWER_UNIT</v>
          </cell>
        </row>
        <row r="1238">
          <cell r="S1238">
            <v>25837</v>
          </cell>
          <cell r="T1238">
            <v>21000</v>
          </cell>
          <cell r="U1238">
            <v>0</v>
          </cell>
          <cell r="W1238" t="str">
            <v>GQS</v>
          </cell>
          <cell r="Z1238">
            <v>46837</v>
          </cell>
        </row>
        <row r="1239">
          <cell r="S1239">
            <v>86122</v>
          </cell>
          <cell r="T1239">
            <v>21000</v>
          </cell>
          <cell r="U1239">
            <v>0</v>
          </cell>
          <cell r="W1239" t="str">
            <v>GQS</v>
          </cell>
          <cell r="Z1239">
            <v>107122</v>
          </cell>
        </row>
        <row r="1240">
          <cell r="S1240">
            <v>43061</v>
          </cell>
          <cell r="T1240">
            <v>136500</v>
          </cell>
          <cell r="U1240">
            <v>710447</v>
          </cell>
          <cell r="W1240" t="str">
            <v>GQS</v>
          </cell>
          <cell r="Z1240">
            <v>890008</v>
          </cell>
          <cell r="AB1240" t="str">
            <v>MAIN_UNIT</v>
          </cell>
        </row>
        <row r="1241">
          <cell r="S1241">
            <v>0</v>
          </cell>
          <cell r="T1241">
            <v>0</v>
          </cell>
          <cell r="U1241">
            <v>0</v>
          </cell>
          <cell r="W1241" t="str">
            <v>GQS</v>
          </cell>
          <cell r="Z1241">
            <v>0</v>
          </cell>
          <cell r="AB1241" t="str">
            <v>POWER_UNIT</v>
          </cell>
        </row>
        <row r="1242">
          <cell r="S1242">
            <v>8612</v>
          </cell>
          <cell r="T1242">
            <v>10500</v>
          </cell>
          <cell r="U1242">
            <v>132120</v>
          </cell>
          <cell r="W1242" t="str">
            <v>GQS</v>
          </cell>
          <cell r="Z1242">
            <v>151232</v>
          </cell>
          <cell r="AB1242" t="str">
            <v>MAIN_UNIT</v>
          </cell>
        </row>
        <row r="1243">
          <cell r="S1243">
            <v>34449</v>
          </cell>
          <cell r="T1243">
            <v>12600</v>
          </cell>
          <cell r="U1243">
            <v>316600</v>
          </cell>
          <cell r="W1243" t="str">
            <v>GQS</v>
          </cell>
          <cell r="Z1243">
            <v>363649</v>
          </cell>
          <cell r="AB1243" t="str">
            <v>MAIN_UNIT</v>
          </cell>
        </row>
        <row r="1244">
          <cell r="S1244">
            <v>17224</v>
          </cell>
          <cell r="T1244">
            <v>16800</v>
          </cell>
          <cell r="U1244">
            <v>12469</v>
          </cell>
          <cell r="W1244" t="str">
            <v>GQS</v>
          </cell>
          <cell r="Z1244">
            <v>46493</v>
          </cell>
          <cell r="AB1244" t="str">
            <v>REMOTE_CONTROL</v>
          </cell>
        </row>
        <row r="1245">
          <cell r="S1245">
            <v>51673</v>
          </cell>
          <cell r="T1245">
            <v>63000</v>
          </cell>
          <cell r="U1245">
            <v>0</v>
          </cell>
          <cell r="W1245" t="str">
            <v>GQS</v>
          </cell>
          <cell r="Z1245">
            <v>114673</v>
          </cell>
        </row>
        <row r="1246">
          <cell r="S1246">
            <v>86122</v>
          </cell>
          <cell r="T1246">
            <v>29400</v>
          </cell>
          <cell r="U1246">
            <v>1055402</v>
          </cell>
          <cell r="W1246" t="str">
            <v>GQS</v>
          </cell>
          <cell r="Z1246">
            <v>1170924</v>
          </cell>
          <cell r="AB1246" t="str">
            <v>MAIN_UNIT</v>
          </cell>
        </row>
        <row r="1247">
          <cell r="S1247">
            <v>43061</v>
          </cell>
          <cell r="T1247">
            <v>50400</v>
          </cell>
          <cell r="U1247">
            <v>1461724</v>
          </cell>
          <cell r="W1247" t="str">
            <v>GQS</v>
          </cell>
          <cell r="Z1247">
            <v>1555185</v>
          </cell>
          <cell r="AB1247" t="str">
            <v>PANEL</v>
          </cell>
        </row>
        <row r="1248">
          <cell r="S1248">
            <v>51673</v>
          </cell>
          <cell r="T1248">
            <v>31500</v>
          </cell>
          <cell r="U1248">
            <v>1136333</v>
          </cell>
          <cell r="W1248" t="str">
            <v>GQS</v>
          </cell>
          <cell r="Z1248">
            <v>1219506</v>
          </cell>
          <cell r="AB1248" t="str">
            <v>PANEL</v>
          </cell>
        </row>
        <row r="1249">
          <cell r="S1249">
            <v>0</v>
          </cell>
          <cell r="T1249">
            <v>0</v>
          </cell>
          <cell r="U1249">
            <v>0</v>
          </cell>
          <cell r="W1249" t="str">
            <v>GQS</v>
          </cell>
          <cell r="Z1249">
            <v>0</v>
          </cell>
          <cell r="AB1249" t="str">
            <v>TAPE</v>
          </cell>
        </row>
        <row r="1250">
          <cell r="S1250">
            <v>43061</v>
          </cell>
          <cell r="T1250">
            <v>31500</v>
          </cell>
          <cell r="U1250">
            <v>299936</v>
          </cell>
          <cell r="W1250" t="str">
            <v>GQS</v>
          </cell>
          <cell r="Z1250">
            <v>374497</v>
          </cell>
          <cell r="AB1250" t="str">
            <v>MAIN_UNIT</v>
          </cell>
        </row>
        <row r="1251">
          <cell r="S1251">
            <v>43061</v>
          </cell>
          <cell r="T1251">
            <v>21000</v>
          </cell>
          <cell r="U1251">
            <v>0</v>
          </cell>
          <cell r="W1251" t="str">
            <v>GQS</v>
          </cell>
          <cell r="Z1251">
            <v>64061</v>
          </cell>
        </row>
        <row r="1252">
          <cell r="S1252">
            <v>43061</v>
          </cell>
          <cell r="T1252">
            <v>126000</v>
          </cell>
          <cell r="U1252">
            <v>42441</v>
          </cell>
          <cell r="W1252" t="str">
            <v>GQS</v>
          </cell>
          <cell r="Z1252">
            <v>211502</v>
          </cell>
          <cell r="AB1252" t="str">
            <v>LED_BAR</v>
          </cell>
        </row>
        <row r="1253">
          <cell r="S1253">
            <v>0</v>
          </cell>
          <cell r="T1253">
            <v>0</v>
          </cell>
          <cell r="U1253">
            <v>0</v>
          </cell>
          <cell r="W1253" t="str">
            <v>GQS</v>
          </cell>
          <cell r="Z1253">
            <v>0</v>
          </cell>
          <cell r="AB1253" t="str">
            <v>TCON_UNIT</v>
          </cell>
        </row>
        <row r="1254">
          <cell r="S1254">
            <v>51673</v>
          </cell>
          <cell r="T1254">
            <v>50400</v>
          </cell>
          <cell r="U1254">
            <v>1551569</v>
          </cell>
          <cell r="W1254" t="str">
            <v>GQS</v>
          </cell>
          <cell r="Z1254">
            <v>1653642</v>
          </cell>
          <cell r="AB1254" t="str">
            <v>PANEL</v>
          </cell>
        </row>
        <row r="1255">
          <cell r="S1255">
            <v>43061</v>
          </cell>
          <cell r="T1255">
            <v>21000</v>
          </cell>
          <cell r="U1255">
            <v>21760</v>
          </cell>
          <cell r="W1255" t="str">
            <v>GQS</v>
          </cell>
          <cell r="Z1255">
            <v>85821</v>
          </cell>
          <cell r="AB1255" t="str">
            <v>REMOTE_CONTROL</v>
          </cell>
        </row>
        <row r="1256">
          <cell r="S1256">
            <v>43061</v>
          </cell>
          <cell r="T1256">
            <v>168000</v>
          </cell>
          <cell r="U1256">
            <v>490572</v>
          </cell>
          <cell r="W1256" t="str">
            <v>GQS</v>
          </cell>
          <cell r="Z1256">
            <v>701633</v>
          </cell>
          <cell r="AB1256" t="str">
            <v>POWER_UNIT</v>
          </cell>
        </row>
        <row r="1257">
          <cell r="S1257">
            <v>8612</v>
          </cell>
          <cell r="T1257">
            <v>0</v>
          </cell>
          <cell r="U1257">
            <v>0</v>
          </cell>
          <cell r="W1257" t="str">
            <v>GQS</v>
          </cell>
          <cell r="Z1257">
            <v>8612</v>
          </cell>
        </row>
        <row r="1258">
          <cell r="S1258">
            <v>25837</v>
          </cell>
          <cell r="T1258">
            <v>115500</v>
          </cell>
          <cell r="U1258">
            <v>0</v>
          </cell>
          <cell r="W1258" t="str">
            <v>GQS</v>
          </cell>
          <cell r="Z1258">
            <v>141337</v>
          </cell>
        </row>
        <row r="1259">
          <cell r="S1259">
            <v>60285</v>
          </cell>
          <cell r="T1259">
            <v>142800</v>
          </cell>
          <cell r="U1259">
            <v>639467</v>
          </cell>
          <cell r="W1259" t="str">
            <v>GQS</v>
          </cell>
          <cell r="Z1259">
            <v>842552</v>
          </cell>
          <cell r="AB1259" t="str">
            <v>PANEL</v>
          </cell>
        </row>
        <row r="1260">
          <cell r="S1260">
            <v>0</v>
          </cell>
          <cell r="T1260">
            <v>0</v>
          </cell>
          <cell r="U1260">
            <v>0</v>
          </cell>
          <cell r="W1260" t="str">
            <v>GQS</v>
          </cell>
          <cell r="Z1260">
            <v>0</v>
          </cell>
          <cell r="AB1260" t="str">
            <v>TAPE</v>
          </cell>
        </row>
        <row r="1261">
          <cell r="S1261">
            <v>34449</v>
          </cell>
          <cell r="T1261">
            <v>67200</v>
          </cell>
          <cell r="U1261">
            <v>297603</v>
          </cell>
          <cell r="W1261" t="str">
            <v>GQS</v>
          </cell>
          <cell r="Z1261">
            <v>399252</v>
          </cell>
          <cell r="AB1261" t="str">
            <v>MAIN_UNIT</v>
          </cell>
        </row>
        <row r="1262">
          <cell r="S1262">
            <v>25837</v>
          </cell>
          <cell r="T1262">
            <v>31500</v>
          </cell>
          <cell r="U1262">
            <v>0</v>
          </cell>
          <cell r="W1262" t="str">
            <v>GQS</v>
          </cell>
          <cell r="Z1262">
            <v>57337</v>
          </cell>
        </row>
        <row r="1263">
          <cell r="S1263">
            <v>25837</v>
          </cell>
          <cell r="T1263">
            <v>31500</v>
          </cell>
          <cell r="U1263">
            <v>0</v>
          </cell>
          <cell r="W1263" t="str">
            <v>GQS</v>
          </cell>
          <cell r="Z1263">
            <v>57337</v>
          </cell>
        </row>
        <row r="1264">
          <cell r="S1264">
            <v>25837</v>
          </cell>
          <cell r="T1264">
            <v>29400</v>
          </cell>
          <cell r="U1264">
            <v>0</v>
          </cell>
          <cell r="W1264" t="str">
            <v>GQS</v>
          </cell>
          <cell r="Z1264">
            <v>55237</v>
          </cell>
        </row>
        <row r="1265">
          <cell r="S1265">
            <v>43061</v>
          </cell>
          <cell r="T1265">
            <v>14700</v>
          </cell>
          <cell r="U1265">
            <v>610637</v>
          </cell>
          <cell r="W1265" t="str">
            <v>GQS</v>
          </cell>
          <cell r="Z1265">
            <v>668398</v>
          </cell>
          <cell r="AB1265" t="str">
            <v>MAIN_UNIT</v>
          </cell>
        </row>
        <row r="1266">
          <cell r="S1266">
            <v>8612</v>
          </cell>
          <cell r="T1266">
            <v>0</v>
          </cell>
          <cell r="U1266">
            <v>0</v>
          </cell>
          <cell r="W1266" t="str">
            <v>GQS</v>
          </cell>
          <cell r="Z1266">
            <v>8612</v>
          </cell>
        </row>
        <row r="1267">
          <cell r="S1267">
            <v>43061</v>
          </cell>
          <cell r="T1267">
            <v>21000</v>
          </cell>
          <cell r="U1267">
            <v>0</v>
          </cell>
          <cell r="W1267" t="str">
            <v>GQS</v>
          </cell>
          <cell r="Z1267">
            <v>64061</v>
          </cell>
        </row>
        <row r="1268">
          <cell r="S1268">
            <v>43061</v>
          </cell>
          <cell r="T1268">
            <v>39900</v>
          </cell>
          <cell r="U1268">
            <v>212836</v>
          </cell>
          <cell r="W1268" t="str">
            <v>GQS</v>
          </cell>
          <cell r="Z1268">
            <v>295797</v>
          </cell>
          <cell r="AB1268" t="str">
            <v>MAIN_UNIT</v>
          </cell>
        </row>
        <row r="1269">
          <cell r="S1269">
            <v>17224</v>
          </cell>
          <cell r="T1269">
            <v>105000</v>
          </cell>
          <cell r="U1269">
            <v>0</v>
          </cell>
          <cell r="W1269" t="str">
            <v>GQS</v>
          </cell>
          <cell r="Z1269">
            <v>122224</v>
          </cell>
        </row>
        <row r="1270">
          <cell r="S1270">
            <v>43061</v>
          </cell>
          <cell r="T1270">
            <v>21000</v>
          </cell>
          <cell r="U1270">
            <v>0</v>
          </cell>
          <cell r="W1270" t="str">
            <v>GQS</v>
          </cell>
          <cell r="Z1270">
            <v>64061</v>
          </cell>
        </row>
        <row r="1271">
          <cell r="S1271">
            <v>86122</v>
          </cell>
          <cell r="T1271">
            <v>12600</v>
          </cell>
          <cell r="U1271">
            <v>614800</v>
          </cell>
          <cell r="W1271" t="str">
            <v>GQS</v>
          </cell>
          <cell r="Z1271">
            <v>713522</v>
          </cell>
          <cell r="AB1271" t="str">
            <v>MAIN_UNIT</v>
          </cell>
        </row>
        <row r="1272">
          <cell r="S1272">
            <v>86122</v>
          </cell>
          <cell r="T1272">
            <v>16800</v>
          </cell>
          <cell r="U1272">
            <v>0</v>
          </cell>
          <cell r="W1272" t="str">
            <v>GQS</v>
          </cell>
          <cell r="Z1272">
            <v>102922</v>
          </cell>
        </row>
        <row r="1273">
          <cell r="S1273">
            <v>0</v>
          </cell>
          <cell r="T1273">
            <v>0</v>
          </cell>
          <cell r="U1273">
            <v>0</v>
          </cell>
          <cell r="W1273" t="str">
            <v>GQS</v>
          </cell>
          <cell r="Z1273">
            <v>0</v>
          </cell>
          <cell r="AB1273" t="str">
            <v>TAPE</v>
          </cell>
        </row>
        <row r="1274">
          <cell r="S1274">
            <v>43061</v>
          </cell>
          <cell r="T1274">
            <v>44100</v>
          </cell>
          <cell r="U1274">
            <v>1433937</v>
          </cell>
          <cell r="W1274" t="str">
            <v>GQS</v>
          </cell>
          <cell r="Z1274">
            <v>1521098</v>
          </cell>
          <cell r="AB1274" t="str">
            <v>PANEL</v>
          </cell>
        </row>
        <row r="1275">
          <cell r="S1275">
            <v>0</v>
          </cell>
          <cell r="T1275">
            <v>0</v>
          </cell>
          <cell r="U1275">
            <v>0</v>
          </cell>
          <cell r="W1275" t="str">
            <v>GQS</v>
          </cell>
          <cell r="Z1275">
            <v>0</v>
          </cell>
          <cell r="AB1275" t="str">
            <v>MAIN_UNIT</v>
          </cell>
        </row>
        <row r="1276">
          <cell r="S1276">
            <v>86122</v>
          </cell>
          <cell r="T1276">
            <v>42000</v>
          </cell>
          <cell r="U1276">
            <v>1461724</v>
          </cell>
          <cell r="W1276" t="str">
            <v>GQS</v>
          </cell>
          <cell r="Z1276">
            <v>1589846</v>
          </cell>
          <cell r="AB1276" t="str">
            <v>PANEL</v>
          </cell>
        </row>
        <row r="1277">
          <cell r="S1277">
            <v>86122</v>
          </cell>
          <cell r="T1277">
            <v>21000</v>
          </cell>
          <cell r="U1277">
            <v>1372404</v>
          </cell>
          <cell r="W1277" t="str">
            <v>GQS</v>
          </cell>
          <cell r="Z1277">
            <v>1479526</v>
          </cell>
          <cell r="AB1277" t="str">
            <v>MAIN_UNIT</v>
          </cell>
        </row>
        <row r="1278">
          <cell r="S1278">
            <v>25837</v>
          </cell>
          <cell r="T1278">
            <v>46200</v>
          </cell>
          <cell r="U1278">
            <v>297604</v>
          </cell>
          <cell r="W1278" t="str">
            <v>GQS</v>
          </cell>
          <cell r="Z1278">
            <v>369641</v>
          </cell>
          <cell r="AB1278" t="str">
            <v>MAIN_UNIT</v>
          </cell>
        </row>
        <row r="1279">
          <cell r="S1279">
            <v>86122</v>
          </cell>
          <cell r="T1279">
            <v>42000</v>
          </cell>
          <cell r="U1279">
            <v>1461724</v>
          </cell>
          <cell r="W1279" t="str">
            <v>GQS</v>
          </cell>
          <cell r="Z1279">
            <v>1589846</v>
          </cell>
          <cell r="AB1279" t="str">
            <v>PANEL</v>
          </cell>
        </row>
        <row r="1280">
          <cell r="S1280">
            <v>43061</v>
          </cell>
          <cell r="T1280">
            <v>42000</v>
          </cell>
          <cell r="U1280">
            <v>54854.999999999993</v>
          </cell>
          <cell r="W1280" t="str">
            <v>GQS</v>
          </cell>
          <cell r="Z1280">
            <v>139916</v>
          </cell>
          <cell r="AB1280" t="str">
            <v>POWER_UNIT</v>
          </cell>
        </row>
        <row r="1281">
          <cell r="S1281">
            <v>34449</v>
          </cell>
          <cell r="T1281">
            <v>79800</v>
          </cell>
          <cell r="U1281">
            <v>0</v>
          </cell>
          <cell r="W1281" t="str">
            <v>GQS</v>
          </cell>
          <cell r="Z1281">
            <v>114249</v>
          </cell>
        </row>
        <row r="1282">
          <cell r="S1282">
            <v>77510</v>
          </cell>
          <cell r="T1282">
            <v>52500</v>
          </cell>
          <cell r="U1282">
            <v>0</v>
          </cell>
          <cell r="W1282" t="str">
            <v>GQS</v>
          </cell>
          <cell r="Z1282">
            <v>130010</v>
          </cell>
        </row>
        <row r="1283">
          <cell r="S1283">
            <v>25837</v>
          </cell>
          <cell r="T1283">
            <v>18900</v>
          </cell>
          <cell r="U1283">
            <v>107875</v>
          </cell>
          <cell r="W1283" t="str">
            <v>GQS</v>
          </cell>
          <cell r="Z1283">
            <v>152612</v>
          </cell>
          <cell r="AB1283" t="str">
            <v>POWER_UNIT</v>
          </cell>
        </row>
        <row r="1284">
          <cell r="S1284">
            <v>86122</v>
          </cell>
          <cell r="T1284">
            <v>21000</v>
          </cell>
          <cell r="U1284">
            <v>316601</v>
          </cell>
          <cell r="W1284" t="str">
            <v>GQS</v>
          </cell>
          <cell r="Z1284">
            <v>423723</v>
          </cell>
          <cell r="AB1284" t="str">
            <v>MAIN_UNIT</v>
          </cell>
        </row>
        <row r="1285">
          <cell r="S1285">
            <v>43061</v>
          </cell>
          <cell r="T1285">
            <v>21000</v>
          </cell>
          <cell r="U1285">
            <v>0</v>
          </cell>
          <cell r="W1285" t="str">
            <v>GQS</v>
          </cell>
          <cell r="Z1285">
            <v>64061</v>
          </cell>
        </row>
        <row r="1286">
          <cell r="S1286">
            <v>43061</v>
          </cell>
          <cell r="T1286">
            <v>21000</v>
          </cell>
          <cell r="U1286">
            <v>0</v>
          </cell>
          <cell r="W1286" t="str">
            <v>GQS</v>
          </cell>
          <cell r="Z1286">
            <v>64061</v>
          </cell>
        </row>
        <row r="1287">
          <cell r="S1287">
            <v>43061</v>
          </cell>
          <cell r="T1287">
            <v>14700</v>
          </cell>
          <cell r="U1287">
            <v>12469</v>
          </cell>
          <cell r="W1287" t="str">
            <v>GQS</v>
          </cell>
          <cell r="Z1287">
            <v>70230</v>
          </cell>
          <cell r="AB1287" t="str">
            <v>REMOTE_CONTROL</v>
          </cell>
        </row>
        <row r="1288">
          <cell r="S1288">
            <v>43061</v>
          </cell>
          <cell r="T1288">
            <v>168000</v>
          </cell>
          <cell r="U1288">
            <v>1055402</v>
          </cell>
          <cell r="W1288" t="str">
            <v>GQS</v>
          </cell>
          <cell r="Z1288">
            <v>1266463</v>
          </cell>
          <cell r="AB1288" t="str">
            <v>MAIN_UNIT</v>
          </cell>
        </row>
        <row r="1289">
          <cell r="S1289">
            <v>43061</v>
          </cell>
          <cell r="T1289">
            <v>42000</v>
          </cell>
          <cell r="U1289">
            <v>569380</v>
          </cell>
          <cell r="W1289" t="str">
            <v>GQS</v>
          </cell>
          <cell r="Z1289">
            <v>654441</v>
          </cell>
          <cell r="AB1289" t="str">
            <v>PANEL</v>
          </cell>
        </row>
        <row r="1290">
          <cell r="S1290">
            <v>43061</v>
          </cell>
          <cell r="T1290">
            <v>0</v>
          </cell>
          <cell r="U1290">
            <v>0</v>
          </cell>
          <cell r="W1290" t="str">
            <v>GQS</v>
          </cell>
          <cell r="Z1290">
            <v>43061</v>
          </cell>
        </row>
        <row r="1291">
          <cell r="S1291">
            <v>43061</v>
          </cell>
          <cell r="T1291">
            <v>31500</v>
          </cell>
          <cell r="U1291">
            <v>0</v>
          </cell>
          <cell r="W1291" t="str">
            <v>GQS</v>
          </cell>
          <cell r="Z1291">
            <v>74561</v>
          </cell>
        </row>
        <row r="1292">
          <cell r="S1292">
            <v>43061</v>
          </cell>
          <cell r="T1292">
            <v>21000</v>
          </cell>
          <cell r="U1292">
            <v>0</v>
          </cell>
          <cell r="W1292" t="str">
            <v>GQS</v>
          </cell>
          <cell r="Z1292">
            <v>64061</v>
          </cell>
        </row>
        <row r="1293">
          <cell r="S1293">
            <v>60285</v>
          </cell>
          <cell r="T1293">
            <v>33600</v>
          </cell>
          <cell r="U1293">
            <v>100000</v>
          </cell>
          <cell r="W1293" t="str">
            <v>GQS</v>
          </cell>
          <cell r="Z1293">
            <v>193885</v>
          </cell>
          <cell r="AB1293" t="str">
            <v>LED_BAR</v>
          </cell>
        </row>
        <row r="1294">
          <cell r="S1294">
            <v>86122</v>
          </cell>
          <cell r="T1294">
            <v>21000</v>
          </cell>
          <cell r="U1294">
            <v>969798</v>
          </cell>
          <cell r="W1294" t="str">
            <v>GQS</v>
          </cell>
          <cell r="Z1294">
            <v>1076920</v>
          </cell>
          <cell r="AB1294" t="str">
            <v>PANEL</v>
          </cell>
        </row>
        <row r="1295">
          <cell r="S1295">
            <v>43061</v>
          </cell>
          <cell r="T1295">
            <v>21000</v>
          </cell>
          <cell r="U1295">
            <v>0</v>
          </cell>
          <cell r="W1295" t="str">
            <v>GQS</v>
          </cell>
          <cell r="Z1295">
            <v>64061</v>
          </cell>
        </row>
        <row r="1296">
          <cell r="S1296">
            <v>43061</v>
          </cell>
          <cell r="T1296">
            <v>31500</v>
          </cell>
          <cell r="U1296">
            <v>3472528</v>
          </cell>
          <cell r="W1296" t="str">
            <v>GQS</v>
          </cell>
          <cell r="Z1296">
            <v>3547089</v>
          </cell>
          <cell r="AB1296" t="str">
            <v>PANEL</v>
          </cell>
        </row>
        <row r="1297">
          <cell r="S1297">
            <v>86122</v>
          </cell>
          <cell r="T1297">
            <v>94500</v>
          </cell>
          <cell r="U1297">
            <v>12469</v>
          </cell>
          <cell r="W1297" t="str">
            <v>GQS</v>
          </cell>
          <cell r="Z1297">
            <v>193091</v>
          </cell>
          <cell r="AB1297" t="str">
            <v>REMOTE_CONTROL</v>
          </cell>
        </row>
        <row r="1298">
          <cell r="S1298">
            <v>43061</v>
          </cell>
          <cell r="T1298">
            <v>27300</v>
          </cell>
          <cell r="U1298">
            <v>969798</v>
          </cell>
          <cell r="W1298" t="str">
            <v>GQS</v>
          </cell>
          <cell r="Z1298">
            <v>1040159</v>
          </cell>
          <cell r="AB1298" t="str">
            <v>PANEL</v>
          </cell>
        </row>
        <row r="1299">
          <cell r="S1299">
            <v>43061</v>
          </cell>
          <cell r="T1299">
            <v>44100</v>
          </cell>
          <cell r="U1299">
            <v>1156860</v>
          </cell>
          <cell r="W1299" t="str">
            <v>GQS</v>
          </cell>
          <cell r="Z1299">
            <v>1244021</v>
          </cell>
          <cell r="AB1299" t="str">
            <v>PANEL</v>
          </cell>
        </row>
        <row r="1300">
          <cell r="S1300">
            <v>0</v>
          </cell>
          <cell r="T1300">
            <v>0</v>
          </cell>
          <cell r="U1300">
            <v>0</v>
          </cell>
          <cell r="W1300" t="str">
            <v>GQS</v>
          </cell>
          <cell r="Z1300">
            <v>0</v>
          </cell>
          <cell r="AB1300" t="str">
            <v>MAIN_UNIT</v>
          </cell>
        </row>
        <row r="1301">
          <cell r="S1301">
            <v>43061</v>
          </cell>
          <cell r="T1301">
            <v>44100</v>
          </cell>
          <cell r="U1301">
            <v>969798</v>
          </cell>
          <cell r="W1301" t="str">
            <v>GQS</v>
          </cell>
          <cell r="Z1301">
            <v>1056959</v>
          </cell>
          <cell r="AB1301" t="str">
            <v>PANEL</v>
          </cell>
        </row>
        <row r="1302">
          <cell r="S1302">
            <v>43061</v>
          </cell>
          <cell r="T1302">
            <v>52500</v>
          </cell>
          <cell r="U1302">
            <v>0</v>
          </cell>
          <cell r="W1302" t="str">
            <v>GQS</v>
          </cell>
          <cell r="Z1302">
            <v>95561</v>
          </cell>
        </row>
        <row r="1303">
          <cell r="S1303">
            <v>43061</v>
          </cell>
          <cell r="T1303">
            <v>73500</v>
          </cell>
          <cell r="U1303">
            <v>610637</v>
          </cell>
          <cell r="W1303" t="str">
            <v>GQS</v>
          </cell>
          <cell r="Z1303">
            <v>727198</v>
          </cell>
          <cell r="AB1303" t="str">
            <v>MAIN_UNIT</v>
          </cell>
        </row>
        <row r="1304">
          <cell r="S1304">
            <v>25837</v>
          </cell>
          <cell r="T1304">
            <v>21000</v>
          </cell>
          <cell r="U1304">
            <v>614800</v>
          </cell>
          <cell r="W1304" t="str">
            <v>GQS</v>
          </cell>
          <cell r="Z1304">
            <v>661637</v>
          </cell>
          <cell r="AB1304" t="str">
            <v>MAIN_UNIT</v>
          </cell>
        </row>
        <row r="1305">
          <cell r="S1305">
            <v>17224</v>
          </cell>
          <cell r="T1305">
            <v>25200</v>
          </cell>
          <cell r="U1305">
            <v>0</v>
          </cell>
          <cell r="W1305" t="str">
            <v>GQS</v>
          </cell>
          <cell r="Z1305">
            <v>42424</v>
          </cell>
        </row>
        <row r="1306">
          <cell r="S1306">
            <v>43061</v>
          </cell>
          <cell r="T1306">
            <v>42000</v>
          </cell>
          <cell r="U1306">
            <v>0</v>
          </cell>
          <cell r="W1306" t="str">
            <v>GQS</v>
          </cell>
          <cell r="Z1306">
            <v>85061</v>
          </cell>
        </row>
        <row r="1307">
          <cell r="S1307">
            <v>51673</v>
          </cell>
          <cell r="T1307">
            <v>33600</v>
          </cell>
          <cell r="U1307">
            <v>969798</v>
          </cell>
          <cell r="W1307" t="str">
            <v>GQS</v>
          </cell>
          <cell r="Z1307">
            <v>1055071</v>
          </cell>
          <cell r="AB1307" t="str">
            <v>PANEL</v>
          </cell>
        </row>
        <row r="1308">
          <cell r="S1308">
            <v>43061</v>
          </cell>
          <cell r="T1308">
            <v>151200</v>
          </cell>
          <cell r="U1308">
            <v>367125</v>
          </cell>
          <cell r="W1308" t="str">
            <v>GQS</v>
          </cell>
          <cell r="Z1308">
            <v>561386</v>
          </cell>
          <cell r="AB1308" t="str">
            <v>PANEL</v>
          </cell>
        </row>
        <row r="1309">
          <cell r="S1309">
            <v>25837</v>
          </cell>
          <cell r="T1309">
            <v>35700</v>
          </cell>
          <cell r="U1309">
            <v>12469</v>
          </cell>
          <cell r="W1309" t="str">
            <v>GQS</v>
          </cell>
          <cell r="Z1309">
            <v>74006</v>
          </cell>
          <cell r="AB1309" t="str">
            <v>REMOTE_CONTROL</v>
          </cell>
        </row>
        <row r="1310">
          <cell r="S1310">
            <v>51673</v>
          </cell>
          <cell r="T1310">
            <v>56700</v>
          </cell>
          <cell r="U1310">
            <v>1461724</v>
          </cell>
          <cell r="W1310" t="str">
            <v>GQS</v>
          </cell>
          <cell r="Z1310">
            <v>1570097</v>
          </cell>
          <cell r="AB1310" t="str">
            <v>PANEL</v>
          </cell>
        </row>
        <row r="1311">
          <cell r="S1311">
            <v>51673</v>
          </cell>
          <cell r="T1311">
            <v>52500</v>
          </cell>
          <cell r="U1311">
            <v>691905</v>
          </cell>
          <cell r="W1311" t="str">
            <v>GQS</v>
          </cell>
          <cell r="Z1311">
            <v>796078</v>
          </cell>
          <cell r="AB1311" t="str">
            <v>MAIN_UNIT</v>
          </cell>
        </row>
        <row r="1312">
          <cell r="S1312">
            <v>86122</v>
          </cell>
          <cell r="T1312">
            <v>12600</v>
          </cell>
          <cell r="U1312">
            <v>3702927</v>
          </cell>
          <cell r="W1312" t="str">
            <v>GQS</v>
          </cell>
          <cell r="Z1312">
            <v>3801649</v>
          </cell>
          <cell r="AB1312" t="str">
            <v>PANEL</v>
          </cell>
        </row>
        <row r="1313">
          <cell r="S1313">
            <v>43061</v>
          </cell>
          <cell r="T1313">
            <v>18900</v>
          </cell>
          <cell r="U1313">
            <v>0</v>
          </cell>
          <cell r="W1313" t="str">
            <v>GQS</v>
          </cell>
          <cell r="Z1313">
            <v>61961</v>
          </cell>
        </row>
        <row r="1314">
          <cell r="S1314">
            <v>51673</v>
          </cell>
          <cell r="T1314">
            <v>21000</v>
          </cell>
          <cell r="U1314">
            <v>522997</v>
          </cell>
          <cell r="W1314" t="str">
            <v>GQS</v>
          </cell>
          <cell r="Z1314">
            <v>595670</v>
          </cell>
          <cell r="AB1314" t="str">
            <v>PANEL</v>
          </cell>
        </row>
        <row r="1315">
          <cell r="S1315">
            <v>25837</v>
          </cell>
          <cell r="T1315">
            <v>4200</v>
          </cell>
          <cell r="U1315">
            <v>0</v>
          </cell>
          <cell r="W1315" t="str">
            <v>GQS</v>
          </cell>
          <cell r="Z1315">
            <v>30037</v>
          </cell>
        </row>
        <row r="1316">
          <cell r="S1316">
            <v>17224</v>
          </cell>
          <cell r="T1316">
            <v>14700</v>
          </cell>
          <cell r="U1316">
            <v>0</v>
          </cell>
          <cell r="W1316" t="str">
            <v>GQS</v>
          </cell>
          <cell r="Z1316">
            <v>31924</v>
          </cell>
        </row>
        <row r="1317">
          <cell r="S1317">
            <v>86122</v>
          </cell>
          <cell r="T1317">
            <v>18900</v>
          </cell>
          <cell r="U1317">
            <v>569380</v>
          </cell>
          <cell r="W1317" t="str">
            <v>GQS</v>
          </cell>
          <cell r="Z1317">
            <v>674402</v>
          </cell>
          <cell r="AB1317" t="str">
            <v>PANEL</v>
          </cell>
        </row>
        <row r="1318">
          <cell r="S1318">
            <v>86122</v>
          </cell>
          <cell r="T1318">
            <v>10500</v>
          </cell>
          <cell r="U1318">
            <v>0</v>
          </cell>
          <cell r="W1318" t="str">
            <v>GQS</v>
          </cell>
          <cell r="Z1318">
            <v>96622</v>
          </cell>
        </row>
        <row r="1319">
          <cell r="S1319">
            <v>43061</v>
          </cell>
          <cell r="T1319">
            <v>14700</v>
          </cell>
          <cell r="U1319">
            <v>0</v>
          </cell>
          <cell r="W1319" t="str">
            <v>GQS</v>
          </cell>
          <cell r="Z1319">
            <v>57761</v>
          </cell>
        </row>
        <row r="1320">
          <cell r="S1320">
            <v>43061</v>
          </cell>
          <cell r="T1320">
            <v>14700</v>
          </cell>
          <cell r="U1320">
            <v>0</v>
          </cell>
          <cell r="W1320" t="str">
            <v>GQS</v>
          </cell>
          <cell r="Z1320">
            <v>57761</v>
          </cell>
        </row>
        <row r="1321">
          <cell r="S1321">
            <v>86122</v>
          </cell>
          <cell r="T1321">
            <v>21000</v>
          </cell>
          <cell r="U1321">
            <v>1075829</v>
          </cell>
          <cell r="W1321" t="str">
            <v>GQS</v>
          </cell>
          <cell r="Z1321">
            <v>1182951</v>
          </cell>
          <cell r="AB1321" t="str">
            <v>POWER_UNIT</v>
          </cell>
        </row>
        <row r="1322">
          <cell r="S1322">
            <v>43061</v>
          </cell>
          <cell r="T1322">
            <v>126000</v>
          </cell>
          <cell r="U1322">
            <v>297603</v>
          </cell>
          <cell r="W1322" t="str">
            <v>GQS</v>
          </cell>
          <cell r="Z1322">
            <v>466664</v>
          </cell>
          <cell r="AB1322" t="str">
            <v>MAIN_UNIT</v>
          </cell>
        </row>
        <row r="1323">
          <cell r="S1323">
            <v>86122</v>
          </cell>
          <cell r="T1323">
            <v>18900</v>
          </cell>
          <cell r="U1323">
            <v>969798</v>
          </cell>
          <cell r="W1323" t="str">
            <v>GQS</v>
          </cell>
          <cell r="Z1323">
            <v>1074820</v>
          </cell>
          <cell r="AB1323" t="str">
            <v>PANEL</v>
          </cell>
        </row>
        <row r="1324">
          <cell r="S1324">
            <v>77510</v>
          </cell>
          <cell r="T1324">
            <v>35700</v>
          </cell>
          <cell r="U1324">
            <v>569380</v>
          </cell>
          <cell r="W1324" t="str">
            <v>GQS</v>
          </cell>
          <cell r="Z1324">
            <v>682590</v>
          </cell>
          <cell r="AB1324" t="str">
            <v>PANEL</v>
          </cell>
        </row>
        <row r="1325">
          <cell r="S1325">
            <v>34449</v>
          </cell>
          <cell r="T1325">
            <v>52500</v>
          </cell>
          <cell r="U1325">
            <v>0</v>
          </cell>
          <cell r="W1325" t="str">
            <v>GQS</v>
          </cell>
          <cell r="Z1325">
            <v>86949</v>
          </cell>
        </row>
        <row r="1326">
          <cell r="S1326">
            <v>43061</v>
          </cell>
          <cell r="T1326">
            <v>16800</v>
          </cell>
          <cell r="U1326">
            <v>0</v>
          </cell>
          <cell r="W1326" t="str">
            <v>GQS</v>
          </cell>
          <cell r="Z1326">
            <v>59861</v>
          </cell>
        </row>
        <row r="1327">
          <cell r="S1327">
            <v>25837</v>
          </cell>
          <cell r="T1327">
            <v>0</v>
          </cell>
          <cell r="U1327">
            <v>0</v>
          </cell>
          <cell r="W1327" t="str">
            <v>GQS</v>
          </cell>
          <cell r="Z1327">
            <v>25837</v>
          </cell>
        </row>
        <row r="1328">
          <cell r="S1328">
            <v>86122</v>
          </cell>
          <cell r="T1328">
            <v>18900</v>
          </cell>
          <cell r="U1328">
            <v>0</v>
          </cell>
          <cell r="W1328" t="str">
            <v>GQS</v>
          </cell>
          <cell r="Z1328">
            <v>105022</v>
          </cell>
        </row>
        <row r="1329">
          <cell r="S1329">
            <v>86122</v>
          </cell>
          <cell r="T1329">
            <v>21000</v>
          </cell>
          <cell r="U1329">
            <v>299936</v>
          </cell>
          <cell r="W1329" t="str">
            <v>GQS</v>
          </cell>
          <cell r="Z1329">
            <v>407058</v>
          </cell>
          <cell r="AB1329" t="str">
            <v>MAIN_UNIT</v>
          </cell>
        </row>
        <row r="1330">
          <cell r="S1330">
            <v>25837</v>
          </cell>
          <cell r="T1330">
            <v>21000</v>
          </cell>
          <cell r="U1330">
            <v>550000</v>
          </cell>
          <cell r="W1330" t="str">
            <v>GQS</v>
          </cell>
          <cell r="Z1330">
            <v>596837</v>
          </cell>
          <cell r="AB1330" t="str">
            <v>PANEL</v>
          </cell>
        </row>
        <row r="1331">
          <cell r="S1331">
            <v>25837</v>
          </cell>
          <cell r="T1331">
            <v>10500</v>
          </cell>
          <cell r="U1331">
            <v>0</v>
          </cell>
          <cell r="W1331" t="str">
            <v>GQS</v>
          </cell>
          <cell r="Z1331">
            <v>36337</v>
          </cell>
        </row>
        <row r="1332">
          <cell r="S1332">
            <v>34449</v>
          </cell>
          <cell r="T1332">
            <v>0</v>
          </cell>
          <cell r="U1332">
            <v>602572</v>
          </cell>
          <cell r="W1332" t="str">
            <v>GQS</v>
          </cell>
          <cell r="Z1332">
            <v>637021</v>
          </cell>
          <cell r="AB1332" t="str">
            <v>MAIN_UNIT</v>
          </cell>
        </row>
        <row r="1333">
          <cell r="S1333">
            <v>34449</v>
          </cell>
          <cell r="T1333">
            <v>0</v>
          </cell>
          <cell r="U1333">
            <v>602572</v>
          </cell>
          <cell r="W1333" t="str">
            <v>GQS</v>
          </cell>
          <cell r="Z1333">
            <v>637021</v>
          </cell>
          <cell r="AB1333" t="str">
            <v>MAIN_UNIT</v>
          </cell>
        </row>
        <row r="1334">
          <cell r="S1334">
            <v>86122</v>
          </cell>
          <cell r="T1334">
            <v>21000</v>
          </cell>
          <cell r="U1334">
            <v>187062</v>
          </cell>
          <cell r="W1334" t="str">
            <v>GQS</v>
          </cell>
          <cell r="Z1334">
            <v>294184</v>
          </cell>
          <cell r="AB1334" t="str">
            <v>MAIN_UNIT</v>
          </cell>
        </row>
        <row r="1335">
          <cell r="S1335">
            <v>43061</v>
          </cell>
          <cell r="T1335">
            <v>21000</v>
          </cell>
          <cell r="U1335">
            <v>0</v>
          </cell>
          <cell r="W1335" t="str">
            <v>GQS</v>
          </cell>
          <cell r="Z1335">
            <v>64061</v>
          </cell>
        </row>
        <row r="1336">
          <cell r="S1336">
            <v>25837</v>
          </cell>
          <cell r="T1336">
            <v>4200</v>
          </cell>
          <cell r="U1336">
            <v>0</v>
          </cell>
          <cell r="W1336" t="str">
            <v>GQS</v>
          </cell>
          <cell r="Z1336">
            <v>30037</v>
          </cell>
        </row>
        <row r="1337">
          <cell r="S1337">
            <v>43061</v>
          </cell>
          <cell r="T1337">
            <v>23100</v>
          </cell>
          <cell r="U1337">
            <v>602572</v>
          </cell>
          <cell r="W1337" t="str">
            <v>GQS</v>
          </cell>
          <cell r="Z1337">
            <v>668733</v>
          </cell>
          <cell r="AB1337" t="str">
            <v>MAIN_UNIT</v>
          </cell>
        </row>
        <row r="1338">
          <cell r="S1338">
            <v>34449</v>
          </cell>
          <cell r="T1338">
            <v>23100</v>
          </cell>
          <cell r="U1338">
            <v>602572</v>
          </cell>
          <cell r="W1338" t="str">
            <v>GQS</v>
          </cell>
          <cell r="Z1338">
            <v>660121</v>
          </cell>
          <cell r="AB1338" t="str">
            <v>MAIN_UNIT</v>
          </cell>
        </row>
        <row r="1339">
          <cell r="S1339">
            <v>43061</v>
          </cell>
          <cell r="T1339">
            <v>0</v>
          </cell>
          <cell r="U1339">
            <v>602572</v>
          </cell>
          <cell r="W1339" t="str">
            <v>GQS</v>
          </cell>
          <cell r="Z1339">
            <v>645633</v>
          </cell>
          <cell r="AB1339" t="str">
            <v>MAIN_UNIT</v>
          </cell>
        </row>
        <row r="1340">
          <cell r="S1340">
            <v>43061</v>
          </cell>
          <cell r="T1340">
            <v>0</v>
          </cell>
          <cell r="U1340">
            <v>602572</v>
          </cell>
          <cell r="W1340" t="str">
            <v>GQS</v>
          </cell>
          <cell r="Z1340">
            <v>645633</v>
          </cell>
          <cell r="AB1340" t="str">
            <v>MAIN_UNIT</v>
          </cell>
        </row>
        <row r="1341">
          <cell r="S1341">
            <v>43061</v>
          </cell>
          <cell r="T1341">
            <v>23100</v>
          </cell>
          <cell r="U1341">
            <v>602572</v>
          </cell>
          <cell r="W1341" t="str">
            <v>GQS</v>
          </cell>
          <cell r="Z1341">
            <v>668733</v>
          </cell>
          <cell r="AB1341" t="str">
            <v>MAIN_UNIT</v>
          </cell>
        </row>
        <row r="1342">
          <cell r="S1342">
            <v>43061</v>
          </cell>
          <cell r="T1342">
            <v>23100</v>
          </cell>
          <cell r="U1342">
            <v>602572</v>
          </cell>
          <cell r="W1342" t="str">
            <v>GQS</v>
          </cell>
          <cell r="Z1342">
            <v>668733</v>
          </cell>
          <cell r="AB1342" t="str">
            <v>MAIN_UNIT</v>
          </cell>
        </row>
        <row r="1343">
          <cell r="S1343">
            <v>17224</v>
          </cell>
          <cell r="T1343">
            <v>23100</v>
          </cell>
          <cell r="U1343">
            <v>602572</v>
          </cell>
          <cell r="W1343" t="str">
            <v>GQS</v>
          </cell>
          <cell r="Z1343">
            <v>642896</v>
          </cell>
          <cell r="AB1343" t="str">
            <v>MAIN_UNIT</v>
          </cell>
        </row>
        <row r="1344">
          <cell r="S1344">
            <v>43061</v>
          </cell>
          <cell r="T1344">
            <v>23100</v>
          </cell>
          <cell r="U1344">
            <v>602572</v>
          </cell>
          <cell r="W1344" t="str">
            <v>GQS</v>
          </cell>
          <cell r="Z1344">
            <v>668733</v>
          </cell>
          <cell r="AB1344" t="str">
            <v>MAIN_UNIT</v>
          </cell>
        </row>
        <row r="1345">
          <cell r="S1345">
            <v>25837</v>
          </cell>
          <cell r="T1345">
            <v>6300</v>
          </cell>
          <cell r="U1345">
            <v>0</v>
          </cell>
          <cell r="W1345" t="str">
            <v>GQS</v>
          </cell>
          <cell r="Z1345">
            <v>32137</v>
          </cell>
        </row>
        <row r="1346">
          <cell r="S1346">
            <v>0</v>
          </cell>
          <cell r="T1346">
            <v>0</v>
          </cell>
          <cell r="U1346">
            <v>0</v>
          </cell>
          <cell r="W1346" t="str">
            <v>GQS</v>
          </cell>
          <cell r="Z1346">
            <v>0</v>
          </cell>
          <cell r="AB1346" t="str">
            <v>MAIN_UNIT</v>
          </cell>
        </row>
        <row r="1347">
          <cell r="S1347">
            <v>86122</v>
          </cell>
          <cell r="T1347">
            <v>31500</v>
          </cell>
          <cell r="U1347">
            <v>1286398</v>
          </cell>
          <cell r="W1347" t="str">
            <v>GQS</v>
          </cell>
          <cell r="Z1347">
            <v>1404020</v>
          </cell>
          <cell r="AB1347" t="str">
            <v>PANEL</v>
          </cell>
        </row>
        <row r="1348">
          <cell r="S1348">
            <v>60285</v>
          </cell>
          <cell r="T1348">
            <v>10500</v>
          </cell>
          <cell r="U1348">
            <v>0</v>
          </cell>
          <cell r="W1348" t="str">
            <v>GQS</v>
          </cell>
          <cell r="Z1348">
            <v>70785</v>
          </cell>
        </row>
        <row r="1349">
          <cell r="S1349">
            <v>43061</v>
          </cell>
          <cell r="T1349">
            <v>46200</v>
          </cell>
          <cell r="U1349">
            <v>1053784</v>
          </cell>
          <cell r="W1349" t="str">
            <v>GQS</v>
          </cell>
          <cell r="Z1349">
            <v>1143045</v>
          </cell>
          <cell r="AB1349" t="str">
            <v>MAIN_UNIT</v>
          </cell>
        </row>
        <row r="1350">
          <cell r="S1350">
            <v>25837</v>
          </cell>
          <cell r="T1350">
            <v>10500</v>
          </cell>
          <cell r="U1350">
            <v>0</v>
          </cell>
          <cell r="W1350" t="str">
            <v>GQS</v>
          </cell>
          <cell r="Z1350">
            <v>36337</v>
          </cell>
        </row>
        <row r="1351">
          <cell r="S1351">
            <v>25837</v>
          </cell>
          <cell r="T1351">
            <v>4200</v>
          </cell>
          <cell r="U1351">
            <v>0</v>
          </cell>
          <cell r="W1351" t="str">
            <v>GQS</v>
          </cell>
          <cell r="Z1351">
            <v>30037</v>
          </cell>
        </row>
        <row r="1352">
          <cell r="S1352">
            <v>86122</v>
          </cell>
          <cell r="T1352">
            <v>136500</v>
          </cell>
          <cell r="U1352">
            <v>297604</v>
          </cell>
          <cell r="W1352" t="str">
            <v>GQS</v>
          </cell>
          <cell r="Z1352">
            <v>520226</v>
          </cell>
          <cell r="AB1352" t="str">
            <v>MAIN_UNIT</v>
          </cell>
        </row>
        <row r="1353">
          <cell r="S1353">
            <v>51673</v>
          </cell>
          <cell r="T1353">
            <v>56700</v>
          </cell>
          <cell r="U1353">
            <v>2023582</v>
          </cell>
          <cell r="W1353" t="str">
            <v>GQS</v>
          </cell>
          <cell r="Z1353">
            <v>2131955</v>
          </cell>
          <cell r="AB1353" t="str">
            <v>PANEL</v>
          </cell>
        </row>
        <row r="1354">
          <cell r="S1354">
            <v>0</v>
          </cell>
          <cell r="T1354">
            <v>0</v>
          </cell>
          <cell r="U1354">
            <v>0</v>
          </cell>
          <cell r="W1354" t="str">
            <v>GQS</v>
          </cell>
          <cell r="Z1354">
            <v>0</v>
          </cell>
          <cell r="AB1354" t="str">
            <v>MAIN_UNIT</v>
          </cell>
        </row>
        <row r="1355">
          <cell r="S1355">
            <v>86122</v>
          </cell>
          <cell r="T1355">
            <v>67200</v>
          </cell>
          <cell r="U1355">
            <v>969798</v>
          </cell>
          <cell r="W1355" t="str">
            <v>GQS</v>
          </cell>
          <cell r="Z1355">
            <v>1123120</v>
          </cell>
          <cell r="AB1355" t="str">
            <v>PANEL</v>
          </cell>
        </row>
        <row r="1356">
          <cell r="S1356">
            <v>43061</v>
          </cell>
          <cell r="T1356">
            <v>29400</v>
          </cell>
          <cell r="U1356">
            <v>522997</v>
          </cell>
          <cell r="W1356" t="str">
            <v>GQS</v>
          </cell>
          <cell r="Z1356">
            <v>595458</v>
          </cell>
          <cell r="AB1356" t="str">
            <v>PANEL</v>
          </cell>
        </row>
        <row r="1357">
          <cell r="S1357">
            <v>0</v>
          </cell>
          <cell r="T1357">
            <v>0</v>
          </cell>
          <cell r="U1357">
            <v>0</v>
          </cell>
          <cell r="W1357" t="str">
            <v>GQS</v>
          </cell>
          <cell r="Z1357">
            <v>0</v>
          </cell>
          <cell r="AB1357" t="str">
            <v>TAPE</v>
          </cell>
        </row>
        <row r="1358">
          <cell r="S1358">
            <v>43061</v>
          </cell>
          <cell r="T1358">
            <v>35700</v>
          </cell>
          <cell r="U1358">
            <v>1136334</v>
          </cell>
          <cell r="W1358" t="str">
            <v>GQS</v>
          </cell>
          <cell r="Z1358">
            <v>1215095</v>
          </cell>
          <cell r="AB1358" t="str">
            <v>PANEL</v>
          </cell>
        </row>
        <row r="1359">
          <cell r="S1359">
            <v>43061</v>
          </cell>
          <cell r="T1359">
            <v>21000</v>
          </cell>
          <cell r="U1359">
            <v>0</v>
          </cell>
          <cell r="W1359" t="str">
            <v>GQS</v>
          </cell>
          <cell r="Z1359">
            <v>64061</v>
          </cell>
        </row>
        <row r="1360">
          <cell r="S1360">
            <v>43061</v>
          </cell>
          <cell r="T1360">
            <v>31500</v>
          </cell>
          <cell r="U1360">
            <v>969798</v>
          </cell>
          <cell r="W1360" t="str">
            <v>GQS</v>
          </cell>
          <cell r="Z1360">
            <v>1044359</v>
          </cell>
          <cell r="AB1360" t="str">
            <v>PANEL</v>
          </cell>
        </row>
        <row r="1361">
          <cell r="S1361">
            <v>86122</v>
          </cell>
          <cell r="T1361">
            <v>21000</v>
          </cell>
          <cell r="U1361">
            <v>107744</v>
          </cell>
          <cell r="W1361" t="str">
            <v>GQS</v>
          </cell>
          <cell r="Z1361">
            <v>214866</v>
          </cell>
          <cell r="AB1361" t="str">
            <v>MAIN_UNIT</v>
          </cell>
        </row>
        <row r="1362">
          <cell r="S1362">
            <v>25837</v>
          </cell>
          <cell r="T1362">
            <v>21000</v>
          </cell>
          <cell r="U1362">
            <v>0</v>
          </cell>
          <cell r="W1362" t="str">
            <v>GQS</v>
          </cell>
          <cell r="Z1362">
            <v>46837</v>
          </cell>
        </row>
        <row r="1363">
          <cell r="S1363">
            <v>77510</v>
          </cell>
          <cell r="T1363">
            <v>16800</v>
          </cell>
          <cell r="U1363">
            <v>0</v>
          </cell>
          <cell r="W1363" t="str">
            <v>GQS</v>
          </cell>
          <cell r="Z1363">
            <v>94310</v>
          </cell>
        </row>
        <row r="1364">
          <cell r="S1364">
            <v>17224</v>
          </cell>
          <cell r="T1364">
            <v>210000</v>
          </cell>
          <cell r="U1364">
            <v>1373768</v>
          </cell>
          <cell r="W1364" t="str">
            <v>GQS</v>
          </cell>
          <cell r="Z1364">
            <v>1600992</v>
          </cell>
          <cell r="AB1364" t="str">
            <v>PANEL</v>
          </cell>
        </row>
        <row r="1365">
          <cell r="S1365">
            <v>17224</v>
          </cell>
          <cell r="T1365">
            <v>14700</v>
          </cell>
          <cell r="U1365">
            <v>0</v>
          </cell>
          <cell r="W1365" t="str">
            <v>GQS</v>
          </cell>
          <cell r="Z1365">
            <v>31924</v>
          </cell>
        </row>
        <row r="1366">
          <cell r="S1366">
            <v>17224</v>
          </cell>
          <cell r="T1366">
            <v>16800</v>
          </cell>
          <cell r="U1366">
            <v>0</v>
          </cell>
          <cell r="W1366" t="str">
            <v>GQS</v>
          </cell>
          <cell r="Z1366">
            <v>34024</v>
          </cell>
        </row>
        <row r="1367">
          <cell r="S1367">
            <v>25837</v>
          </cell>
          <cell r="T1367">
            <v>33600</v>
          </cell>
          <cell r="U1367">
            <v>0</v>
          </cell>
          <cell r="W1367" t="str">
            <v>GQS</v>
          </cell>
          <cell r="Z1367">
            <v>59437</v>
          </cell>
        </row>
        <row r="1368">
          <cell r="S1368">
            <v>34449</v>
          </cell>
          <cell r="T1368">
            <v>0</v>
          </cell>
          <cell r="U1368">
            <v>0</v>
          </cell>
          <cell r="W1368" t="str">
            <v>GQS</v>
          </cell>
          <cell r="Z1368">
            <v>34449</v>
          </cell>
        </row>
        <row r="1369">
          <cell r="S1369">
            <v>43061</v>
          </cell>
          <cell r="T1369">
            <v>10500</v>
          </cell>
          <cell r="U1369">
            <v>0</v>
          </cell>
          <cell r="W1369" t="str">
            <v>GQS</v>
          </cell>
          <cell r="Z1369">
            <v>53561</v>
          </cell>
        </row>
        <row r="1370">
          <cell r="S1370">
            <v>51673</v>
          </cell>
          <cell r="T1370">
            <v>60900</v>
          </cell>
          <cell r="U1370">
            <v>1075829</v>
          </cell>
          <cell r="W1370" t="str">
            <v>GQS</v>
          </cell>
          <cell r="Z1370">
            <v>1188402</v>
          </cell>
          <cell r="AB1370" t="str">
            <v>POWER_UNIT</v>
          </cell>
        </row>
        <row r="1371">
          <cell r="S1371">
            <v>43061</v>
          </cell>
          <cell r="T1371">
            <v>105000</v>
          </cell>
          <cell r="U1371">
            <v>316600</v>
          </cell>
          <cell r="W1371" t="str">
            <v>GQS</v>
          </cell>
          <cell r="Z1371">
            <v>464661</v>
          </cell>
          <cell r="AB1371" t="str">
            <v>MAIN_UNIT</v>
          </cell>
        </row>
        <row r="1372">
          <cell r="S1372">
            <v>0</v>
          </cell>
          <cell r="T1372">
            <v>0</v>
          </cell>
          <cell r="U1372">
            <v>0</v>
          </cell>
          <cell r="W1372" t="str">
            <v>GQS</v>
          </cell>
          <cell r="Z1372">
            <v>0</v>
          </cell>
          <cell r="AB1372" t="str">
            <v>TAPE</v>
          </cell>
        </row>
        <row r="1373">
          <cell r="S1373">
            <v>43061</v>
          </cell>
          <cell r="T1373">
            <v>18900</v>
          </cell>
          <cell r="U1373">
            <v>617523</v>
          </cell>
          <cell r="W1373" t="str">
            <v>GQS</v>
          </cell>
          <cell r="Z1373">
            <v>679484</v>
          </cell>
          <cell r="AB1373" t="str">
            <v>PANEL</v>
          </cell>
        </row>
        <row r="1374">
          <cell r="S1374">
            <v>43061</v>
          </cell>
          <cell r="T1374">
            <v>18900</v>
          </cell>
          <cell r="U1374">
            <v>610604</v>
          </cell>
          <cell r="W1374" t="str">
            <v>GQS</v>
          </cell>
          <cell r="Z1374">
            <v>672565</v>
          </cell>
          <cell r="AB1374" t="str">
            <v>POWER_UNIT</v>
          </cell>
        </row>
        <row r="1375">
          <cell r="S1375">
            <v>0</v>
          </cell>
          <cell r="T1375">
            <v>0</v>
          </cell>
          <cell r="U1375">
            <v>0</v>
          </cell>
          <cell r="W1375" t="str">
            <v>GQS</v>
          </cell>
          <cell r="Z1375">
            <v>0</v>
          </cell>
          <cell r="AB1375" t="str">
            <v>LED_BAR</v>
          </cell>
        </row>
        <row r="1376">
          <cell r="S1376">
            <v>25837</v>
          </cell>
          <cell r="T1376">
            <v>6300</v>
          </cell>
          <cell r="U1376">
            <v>316601</v>
          </cell>
          <cell r="W1376" t="str">
            <v>GQS</v>
          </cell>
          <cell r="Z1376">
            <v>348738</v>
          </cell>
          <cell r="AB1376" t="str">
            <v>MAIN_UNIT</v>
          </cell>
        </row>
        <row r="1377">
          <cell r="S1377">
            <v>43061</v>
          </cell>
          <cell r="T1377">
            <v>29400</v>
          </cell>
          <cell r="U1377">
            <v>969798</v>
          </cell>
          <cell r="W1377" t="str">
            <v>GQS</v>
          </cell>
          <cell r="Z1377">
            <v>1042259</v>
          </cell>
          <cell r="AB1377" t="str">
            <v>PANEL</v>
          </cell>
        </row>
        <row r="1378">
          <cell r="S1378">
            <v>43061</v>
          </cell>
          <cell r="T1378">
            <v>126000</v>
          </cell>
          <cell r="U1378">
            <v>969798</v>
          </cell>
          <cell r="W1378" t="str">
            <v>GQS</v>
          </cell>
          <cell r="Z1378">
            <v>1138859</v>
          </cell>
          <cell r="AB1378" t="str">
            <v>PANEL</v>
          </cell>
        </row>
        <row r="1379">
          <cell r="S1379">
            <v>25837</v>
          </cell>
          <cell r="T1379">
            <v>21000</v>
          </cell>
          <cell r="U1379">
            <v>0</v>
          </cell>
          <cell r="W1379" t="str">
            <v>GQS</v>
          </cell>
          <cell r="Z1379">
            <v>46837</v>
          </cell>
        </row>
        <row r="1380">
          <cell r="S1380">
            <v>17224</v>
          </cell>
          <cell r="T1380">
            <v>21000</v>
          </cell>
          <cell r="U1380">
            <v>0</v>
          </cell>
          <cell r="W1380" t="str">
            <v>GQS</v>
          </cell>
          <cell r="Z1380">
            <v>38224</v>
          </cell>
        </row>
        <row r="1381">
          <cell r="S1381">
            <v>43061</v>
          </cell>
          <cell r="T1381">
            <v>18900</v>
          </cell>
          <cell r="U1381">
            <v>165000</v>
          </cell>
          <cell r="W1381" t="str">
            <v>GQS</v>
          </cell>
          <cell r="Z1381">
            <v>226961</v>
          </cell>
          <cell r="AB1381" t="str">
            <v>LED_BAR</v>
          </cell>
        </row>
        <row r="1382">
          <cell r="S1382">
            <v>86122</v>
          </cell>
          <cell r="T1382">
            <v>42000</v>
          </cell>
          <cell r="U1382">
            <v>1461724</v>
          </cell>
          <cell r="W1382" t="str">
            <v>GQS</v>
          </cell>
          <cell r="Z1382">
            <v>1589846</v>
          </cell>
          <cell r="AB1382" t="str">
            <v>PANEL</v>
          </cell>
        </row>
        <row r="1383">
          <cell r="S1383">
            <v>86122</v>
          </cell>
          <cell r="T1383">
            <v>31500</v>
          </cell>
          <cell r="U1383">
            <v>969798</v>
          </cell>
          <cell r="W1383" t="str">
            <v>GQS</v>
          </cell>
          <cell r="Z1383">
            <v>1087420</v>
          </cell>
          <cell r="AB1383" t="str">
            <v>PANEL</v>
          </cell>
        </row>
        <row r="1384">
          <cell r="S1384">
            <v>34449</v>
          </cell>
          <cell r="T1384">
            <v>63000</v>
          </cell>
          <cell r="U1384">
            <v>0</v>
          </cell>
          <cell r="W1384" t="str">
            <v>GQS</v>
          </cell>
          <cell r="Z1384">
            <v>97449</v>
          </cell>
        </row>
        <row r="1385">
          <cell r="S1385">
            <v>17224</v>
          </cell>
          <cell r="T1385">
            <v>8400</v>
          </cell>
          <cell r="U1385">
            <v>0</v>
          </cell>
          <cell r="W1385" t="str">
            <v>GQS</v>
          </cell>
          <cell r="Z1385">
            <v>25624</v>
          </cell>
        </row>
        <row r="1386">
          <cell r="S1386">
            <v>68898</v>
          </cell>
          <cell r="T1386">
            <v>52500</v>
          </cell>
          <cell r="U1386">
            <v>569380</v>
          </cell>
          <cell r="W1386" t="str">
            <v>GQS</v>
          </cell>
          <cell r="Z1386">
            <v>690778</v>
          </cell>
          <cell r="AB1386" t="str">
            <v>PANEL</v>
          </cell>
        </row>
        <row r="1387">
          <cell r="S1387">
            <v>86122</v>
          </cell>
          <cell r="T1387">
            <v>210000</v>
          </cell>
          <cell r="U1387">
            <v>0</v>
          </cell>
          <cell r="W1387" t="str">
            <v>GQS</v>
          </cell>
          <cell r="Z1387">
            <v>296122</v>
          </cell>
        </row>
        <row r="1388">
          <cell r="S1388">
            <v>86122</v>
          </cell>
          <cell r="T1388">
            <v>210000</v>
          </cell>
          <cell r="U1388">
            <v>0</v>
          </cell>
          <cell r="W1388" t="str">
            <v>GQS</v>
          </cell>
          <cell r="Z1388">
            <v>296122</v>
          </cell>
        </row>
        <row r="1389">
          <cell r="S1389">
            <v>86122</v>
          </cell>
          <cell r="T1389">
            <v>210000</v>
          </cell>
          <cell r="U1389">
            <v>0</v>
          </cell>
          <cell r="W1389" t="str">
            <v>GQS</v>
          </cell>
          <cell r="Z1389">
            <v>296122</v>
          </cell>
        </row>
        <row r="1390">
          <cell r="S1390">
            <v>86122</v>
          </cell>
          <cell r="T1390">
            <v>210000</v>
          </cell>
          <cell r="U1390">
            <v>0</v>
          </cell>
          <cell r="W1390" t="str">
            <v>GQS</v>
          </cell>
          <cell r="Z1390">
            <v>296122</v>
          </cell>
        </row>
        <row r="1391">
          <cell r="S1391">
            <v>25837</v>
          </cell>
          <cell r="T1391">
            <v>12600</v>
          </cell>
          <cell r="U1391">
            <v>0</v>
          </cell>
          <cell r="W1391" t="str">
            <v>GQS</v>
          </cell>
          <cell r="Z1391">
            <v>38437</v>
          </cell>
        </row>
        <row r="1392">
          <cell r="S1392">
            <v>25837</v>
          </cell>
          <cell r="T1392">
            <v>16800</v>
          </cell>
          <cell r="U1392">
            <v>0</v>
          </cell>
          <cell r="W1392" t="str">
            <v>GQS</v>
          </cell>
          <cell r="Z1392">
            <v>42637</v>
          </cell>
        </row>
        <row r="1393">
          <cell r="S1393">
            <v>25837</v>
          </cell>
          <cell r="T1393">
            <v>16800</v>
          </cell>
          <cell r="U1393">
            <v>0</v>
          </cell>
          <cell r="W1393" t="str">
            <v>GQS</v>
          </cell>
          <cell r="Z1393">
            <v>42637</v>
          </cell>
        </row>
        <row r="1394">
          <cell r="S1394">
            <v>86122</v>
          </cell>
          <cell r="T1394">
            <v>42000</v>
          </cell>
          <cell r="U1394">
            <v>1461724</v>
          </cell>
          <cell r="W1394" t="str">
            <v>GQS</v>
          </cell>
          <cell r="Z1394">
            <v>1589846</v>
          </cell>
          <cell r="AB1394" t="str">
            <v>PANEL</v>
          </cell>
        </row>
        <row r="1395">
          <cell r="S1395">
            <v>68898</v>
          </cell>
          <cell r="T1395">
            <v>29400</v>
          </cell>
          <cell r="U1395">
            <v>1053784</v>
          </cell>
          <cell r="W1395" t="str">
            <v>GQS</v>
          </cell>
          <cell r="Z1395">
            <v>1152082</v>
          </cell>
          <cell r="AB1395" t="str">
            <v>MAIN_UNIT</v>
          </cell>
        </row>
        <row r="1396">
          <cell r="S1396">
            <v>86122</v>
          </cell>
          <cell r="T1396">
            <v>10500</v>
          </cell>
          <cell r="U1396">
            <v>0</v>
          </cell>
          <cell r="W1396" t="str">
            <v>GQS</v>
          </cell>
          <cell r="Z1396">
            <v>96622</v>
          </cell>
        </row>
        <row r="1397">
          <cell r="S1397">
            <v>17224</v>
          </cell>
          <cell r="T1397">
            <v>16800</v>
          </cell>
          <cell r="U1397">
            <v>0</v>
          </cell>
          <cell r="W1397" t="str">
            <v>GQS</v>
          </cell>
          <cell r="Z1397">
            <v>34024</v>
          </cell>
        </row>
        <row r="1398">
          <cell r="S1398">
            <v>25837</v>
          </cell>
          <cell r="T1398">
            <v>16800</v>
          </cell>
          <cell r="U1398">
            <v>0</v>
          </cell>
          <cell r="W1398" t="str">
            <v>GQS</v>
          </cell>
          <cell r="Z1398">
            <v>42637</v>
          </cell>
        </row>
        <row r="1399">
          <cell r="S1399">
            <v>25837</v>
          </cell>
          <cell r="T1399">
            <v>16800</v>
          </cell>
          <cell r="U1399">
            <v>0</v>
          </cell>
          <cell r="W1399" t="str">
            <v>GQS</v>
          </cell>
          <cell r="Z1399">
            <v>42637</v>
          </cell>
        </row>
        <row r="1400">
          <cell r="S1400">
            <v>17224</v>
          </cell>
          <cell r="T1400">
            <v>16800</v>
          </cell>
          <cell r="U1400">
            <v>0</v>
          </cell>
          <cell r="W1400" t="str">
            <v>GQS</v>
          </cell>
          <cell r="Z1400">
            <v>34024</v>
          </cell>
        </row>
        <row r="1401">
          <cell r="S1401">
            <v>17224</v>
          </cell>
          <cell r="T1401">
            <v>16800</v>
          </cell>
          <cell r="U1401">
            <v>0</v>
          </cell>
          <cell r="W1401" t="str">
            <v>GQS</v>
          </cell>
          <cell r="Z1401">
            <v>34024</v>
          </cell>
        </row>
        <row r="1402">
          <cell r="S1402">
            <v>17224</v>
          </cell>
          <cell r="T1402">
            <v>16800</v>
          </cell>
          <cell r="U1402">
            <v>0</v>
          </cell>
          <cell r="W1402" t="str">
            <v>GQS</v>
          </cell>
          <cell r="Z1402">
            <v>34024</v>
          </cell>
        </row>
        <row r="1403">
          <cell r="S1403">
            <v>17224</v>
          </cell>
          <cell r="T1403">
            <v>16800</v>
          </cell>
          <cell r="U1403">
            <v>0</v>
          </cell>
          <cell r="W1403" t="str">
            <v>GQS</v>
          </cell>
          <cell r="Z1403">
            <v>34024</v>
          </cell>
        </row>
        <row r="1404">
          <cell r="S1404">
            <v>17224</v>
          </cell>
          <cell r="T1404">
            <v>16800</v>
          </cell>
          <cell r="U1404">
            <v>0</v>
          </cell>
          <cell r="W1404" t="str">
            <v>GQS</v>
          </cell>
          <cell r="Z1404">
            <v>34024</v>
          </cell>
        </row>
        <row r="1405">
          <cell r="S1405">
            <v>17224</v>
          </cell>
          <cell r="T1405">
            <v>16800</v>
          </cell>
          <cell r="U1405">
            <v>0</v>
          </cell>
          <cell r="W1405" t="str">
            <v>GQS</v>
          </cell>
          <cell r="Z1405">
            <v>34024</v>
          </cell>
        </row>
        <row r="1406">
          <cell r="S1406">
            <v>43061</v>
          </cell>
          <cell r="T1406">
            <v>39900</v>
          </cell>
          <cell r="U1406">
            <v>569380</v>
          </cell>
          <cell r="W1406" t="str">
            <v>GQS</v>
          </cell>
          <cell r="Z1406">
            <v>652341</v>
          </cell>
          <cell r="AB1406" t="str">
            <v>PANEL</v>
          </cell>
        </row>
        <row r="1407">
          <cell r="S1407">
            <v>17224</v>
          </cell>
          <cell r="T1407">
            <v>16800</v>
          </cell>
          <cell r="U1407">
            <v>0</v>
          </cell>
          <cell r="W1407" t="str">
            <v>GQS</v>
          </cell>
          <cell r="Z1407">
            <v>34024</v>
          </cell>
        </row>
        <row r="1408">
          <cell r="S1408">
            <v>51673</v>
          </cell>
          <cell r="T1408">
            <v>52500</v>
          </cell>
          <cell r="U1408">
            <v>0</v>
          </cell>
          <cell r="W1408" t="str">
            <v>GQS</v>
          </cell>
          <cell r="Z1408">
            <v>104173</v>
          </cell>
        </row>
        <row r="1409">
          <cell r="S1409">
            <v>17224</v>
          </cell>
          <cell r="T1409">
            <v>16800</v>
          </cell>
          <cell r="U1409">
            <v>0</v>
          </cell>
          <cell r="W1409" t="str">
            <v>GQS</v>
          </cell>
          <cell r="Z1409">
            <v>34024</v>
          </cell>
        </row>
        <row r="1410">
          <cell r="S1410">
            <v>17224</v>
          </cell>
          <cell r="T1410">
            <v>16800</v>
          </cell>
          <cell r="U1410">
            <v>0</v>
          </cell>
          <cell r="W1410" t="str">
            <v>GQS</v>
          </cell>
          <cell r="Z1410">
            <v>34024</v>
          </cell>
        </row>
        <row r="1411">
          <cell r="S1411">
            <v>43061</v>
          </cell>
          <cell r="T1411">
            <v>31500</v>
          </cell>
          <cell r="U1411">
            <v>969798</v>
          </cell>
          <cell r="W1411" t="str">
            <v>GQS</v>
          </cell>
          <cell r="Z1411">
            <v>1044359</v>
          </cell>
          <cell r="AB1411" t="str">
            <v>PANEL</v>
          </cell>
        </row>
        <row r="1412">
          <cell r="S1412">
            <v>17224</v>
          </cell>
          <cell r="T1412">
            <v>16800</v>
          </cell>
          <cell r="U1412">
            <v>0</v>
          </cell>
          <cell r="W1412" t="str">
            <v>GQS</v>
          </cell>
          <cell r="Z1412">
            <v>34024</v>
          </cell>
        </row>
        <row r="1413">
          <cell r="S1413">
            <v>8612</v>
          </cell>
          <cell r="T1413">
            <v>16800</v>
          </cell>
          <cell r="U1413">
            <v>0</v>
          </cell>
          <cell r="W1413" t="str">
            <v>GQS</v>
          </cell>
          <cell r="Z1413">
            <v>25412</v>
          </cell>
        </row>
        <row r="1414">
          <cell r="S1414">
            <v>43061</v>
          </cell>
          <cell r="T1414">
            <v>0</v>
          </cell>
          <cell r="U1414">
            <v>602572</v>
          </cell>
          <cell r="W1414" t="str">
            <v>GQS</v>
          </cell>
          <cell r="Z1414">
            <v>645633</v>
          </cell>
          <cell r="AB1414" t="str">
            <v>MAIN_UNIT</v>
          </cell>
        </row>
        <row r="1415">
          <cell r="S1415">
            <v>34449</v>
          </cell>
          <cell r="T1415">
            <v>0</v>
          </cell>
          <cell r="U1415">
            <v>602572</v>
          </cell>
          <cell r="W1415" t="str">
            <v>GQS</v>
          </cell>
          <cell r="Z1415">
            <v>637021</v>
          </cell>
          <cell r="AB1415" t="str">
            <v>MAIN_UNIT</v>
          </cell>
        </row>
        <row r="1416">
          <cell r="S1416">
            <v>43061</v>
          </cell>
          <cell r="T1416">
            <v>0</v>
          </cell>
          <cell r="U1416">
            <v>602572</v>
          </cell>
          <cell r="W1416" t="str">
            <v>GQS</v>
          </cell>
          <cell r="Z1416">
            <v>645633</v>
          </cell>
          <cell r="AB1416" t="str">
            <v>MAIN_UNIT</v>
          </cell>
        </row>
        <row r="1417">
          <cell r="S1417">
            <v>43061</v>
          </cell>
          <cell r="T1417">
            <v>0</v>
          </cell>
          <cell r="U1417">
            <v>602572</v>
          </cell>
          <cell r="W1417" t="str">
            <v>GQS</v>
          </cell>
          <cell r="Z1417">
            <v>645633</v>
          </cell>
          <cell r="AB1417" t="str">
            <v>MAIN_UNIT</v>
          </cell>
        </row>
        <row r="1418">
          <cell r="S1418">
            <v>43061</v>
          </cell>
          <cell r="T1418">
            <v>0</v>
          </cell>
          <cell r="U1418">
            <v>602572</v>
          </cell>
          <cell r="W1418" t="str">
            <v>GQS</v>
          </cell>
          <cell r="Z1418">
            <v>645633</v>
          </cell>
          <cell r="AB1418" t="str">
            <v>MAIN_UNIT</v>
          </cell>
        </row>
        <row r="1419">
          <cell r="S1419">
            <v>43061</v>
          </cell>
          <cell r="T1419">
            <v>23100</v>
          </cell>
          <cell r="U1419">
            <v>602572</v>
          </cell>
          <cell r="W1419" t="str">
            <v>GQS</v>
          </cell>
          <cell r="Z1419">
            <v>668733</v>
          </cell>
          <cell r="AB1419" t="str">
            <v>MAIN_UNIT</v>
          </cell>
        </row>
        <row r="1420">
          <cell r="S1420">
            <v>43061</v>
          </cell>
          <cell r="T1420">
            <v>0</v>
          </cell>
          <cell r="U1420">
            <v>602572</v>
          </cell>
          <cell r="W1420" t="str">
            <v>GQS</v>
          </cell>
          <cell r="Z1420">
            <v>645633</v>
          </cell>
          <cell r="AB1420" t="str">
            <v>MAIN_UNIT</v>
          </cell>
        </row>
        <row r="1421">
          <cell r="S1421">
            <v>17224</v>
          </cell>
          <cell r="T1421">
            <v>16800</v>
          </cell>
          <cell r="U1421">
            <v>0</v>
          </cell>
          <cell r="W1421" t="str">
            <v>GQS</v>
          </cell>
          <cell r="Z1421">
            <v>34024</v>
          </cell>
        </row>
        <row r="1422">
          <cell r="S1422">
            <v>17224</v>
          </cell>
          <cell r="T1422">
            <v>16800</v>
          </cell>
          <cell r="U1422">
            <v>0</v>
          </cell>
          <cell r="W1422" t="str">
            <v>GQS</v>
          </cell>
          <cell r="Z1422">
            <v>34024</v>
          </cell>
        </row>
        <row r="1423">
          <cell r="S1423">
            <v>43061</v>
          </cell>
          <cell r="T1423">
            <v>16800</v>
          </cell>
          <cell r="U1423">
            <v>100000</v>
          </cell>
          <cell r="W1423" t="str">
            <v>GQS</v>
          </cell>
          <cell r="Z1423">
            <v>159861</v>
          </cell>
          <cell r="AB1423" t="str">
            <v>LED_BAR</v>
          </cell>
        </row>
        <row r="1424">
          <cell r="S1424">
            <v>17224</v>
          </cell>
          <cell r="T1424">
            <v>16800</v>
          </cell>
          <cell r="U1424">
            <v>0</v>
          </cell>
          <cell r="W1424" t="str">
            <v>GQS</v>
          </cell>
          <cell r="Z1424">
            <v>34024</v>
          </cell>
        </row>
        <row r="1425">
          <cell r="S1425">
            <v>17224</v>
          </cell>
          <cell r="T1425">
            <v>16800</v>
          </cell>
          <cell r="U1425">
            <v>0</v>
          </cell>
          <cell r="W1425" t="str">
            <v>GQS</v>
          </cell>
          <cell r="Z1425">
            <v>34024</v>
          </cell>
        </row>
        <row r="1426">
          <cell r="S1426">
            <v>17224</v>
          </cell>
          <cell r="T1426">
            <v>16800</v>
          </cell>
          <cell r="U1426">
            <v>0</v>
          </cell>
          <cell r="W1426" t="str">
            <v>GQS</v>
          </cell>
          <cell r="Z1426">
            <v>34024</v>
          </cell>
        </row>
        <row r="1427">
          <cell r="S1427">
            <v>43061</v>
          </cell>
          <cell r="T1427">
            <v>52500</v>
          </cell>
          <cell r="U1427">
            <v>306123</v>
          </cell>
          <cell r="W1427" t="str">
            <v>GQS</v>
          </cell>
          <cell r="Z1427">
            <v>401684</v>
          </cell>
          <cell r="AB1427" t="str">
            <v>MAIN_UNIT</v>
          </cell>
        </row>
        <row r="1428">
          <cell r="S1428">
            <v>17224</v>
          </cell>
          <cell r="T1428">
            <v>16800</v>
          </cell>
          <cell r="U1428">
            <v>0</v>
          </cell>
          <cell r="W1428" t="str">
            <v>GQS</v>
          </cell>
          <cell r="Z1428">
            <v>34024</v>
          </cell>
        </row>
        <row r="1429">
          <cell r="S1429">
            <v>43061</v>
          </cell>
          <cell r="T1429">
            <v>0</v>
          </cell>
          <cell r="U1429">
            <v>602572</v>
          </cell>
          <cell r="W1429" t="str">
            <v>GQS</v>
          </cell>
          <cell r="Z1429">
            <v>645633</v>
          </cell>
          <cell r="AB1429" t="str">
            <v>MAIN_UNIT</v>
          </cell>
        </row>
        <row r="1430">
          <cell r="S1430">
            <v>17224</v>
          </cell>
          <cell r="T1430">
            <v>16800</v>
          </cell>
          <cell r="U1430">
            <v>0</v>
          </cell>
          <cell r="W1430" t="str">
            <v>GQS</v>
          </cell>
          <cell r="Z1430">
            <v>34024</v>
          </cell>
        </row>
        <row r="1431">
          <cell r="S1431">
            <v>17224</v>
          </cell>
          <cell r="T1431">
            <v>16800</v>
          </cell>
          <cell r="U1431">
            <v>0</v>
          </cell>
          <cell r="W1431" t="str">
            <v>GQS</v>
          </cell>
          <cell r="Z1431">
            <v>34024</v>
          </cell>
        </row>
        <row r="1432">
          <cell r="S1432">
            <v>17224</v>
          </cell>
          <cell r="T1432">
            <v>16800</v>
          </cell>
          <cell r="U1432">
            <v>0</v>
          </cell>
          <cell r="W1432" t="str">
            <v>GQS</v>
          </cell>
          <cell r="Z1432">
            <v>34024</v>
          </cell>
        </row>
        <row r="1433">
          <cell r="S1433">
            <v>17224</v>
          </cell>
          <cell r="T1433">
            <v>16800</v>
          </cell>
          <cell r="U1433">
            <v>0</v>
          </cell>
          <cell r="W1433" t="str">
            <v>GQS</v>
          </cell>
          <cell r="Z1433">
            <v>34024</v>
          </cell>
        </row>
        <row r="1434">
          <cell r="S1434">
            <v>43061</v>
          </cell>
          <cell r="T1434">
            <v>21000</v>
          </cell>
          <cell r="U1434">
            <v>297603</v>
          </cell>
          <cell r="W1434" t="str">
            <v>GQS</v>
          </cell>
          <cell r="Z1434">
            <v>361664</v>
          </cell>
          <cell r="AB1434" t="str">
            <v>MAIN_UNIT</v>
          </cell>
        </row>
        <row r="1435">
          <cell r="S1435">
            <v>25837</v>
          </cell>
          <cell r="T1435">
            <v>0</v>
          </cell>
          <cell r="U1435">
            <v>0</v>
          </cell>
          <cell r="W1435" t="str">
            <v>GQS</v>
          </cell>
          <cell r="Z1435">
            <v>25837</v>
          </cell>
        </row>
        <row r="1436">
          <cell r="S1436">
            <v>17224</v>
          </cell>
          <cell r="T1436">
            <v>16800</v>
          </cell>
          <cell r="U1436">
            <v>0</v>
          </cell>
          <cell r="W1436" t="str">
            <v>GQS</v>
          </cell>
          <cell r="Z1436">
            <v>34024</v>
          </cell>
        </row>
        <row r="1437">
          <cell r="S1437">
            <v>34449</v>
          </cell>
          <cell r="T1437">
            <v>0</v>
          </cell>
          <cell r="U1437">
            <v>0</v>
          </cell>
          <cell r="W1437" t="str">
            <v>GQS</v>
          </cell>
          <cell r="Z1437">
            <v>34449</v>
          </cell>
        </row>
        <row r="1438">
          <cell r="S1438">
            <v>17224</v>
          </cell>
          <cell r="T1438">
            <v>16800</v>
          </cell>
          <cell r="U1438">
            <v>0</v>
          </cell>
          <cell r="W1438" t="str">
            <v>GQS</v>
          </cell>
          <cell r="Z1438">
            <v>34024</v>
          </cell>
        </row>
        <row r="1439">
          <cell r="S1439">
            <v>17224</v>
          </cell>
          <cell r="T1439">
            <v>16800</v>
          </cell>
          <cell r="U1439">
            <v>0</v>
          </cell>
          <cell r="W1439" t="str">
            <v>GQS</v>
          </cell>
          <cell r="Z1439">
            <v>34024</v>
          </cell>
        </row>
        <row r="1440">
          <cell r="S1440">
            <v>34449</v>
          </cell>
          <cell r="T1440">
            <v>23100</v>
          </cell>
          <cell r="U1440">
            <v>602572</v>
          </cell>
          <cell r="W1440" t="str">
            <v>GQS</v>
          </cell>
          <cell r="Z1440">
            <v>660121</v>
          </cell>
          <cell r="AB1440" t="str">
            <v>MAIN_UNIT</v>
          </cell>
        </row>
        <row r="1441">
          <cell r="S1441">
            <v>43061</v>
          </cell>
          <cell r="T1441">
            <v>35700</v>
          </cell>
          <cell r="U1441">
            <v>0</v>
          </cell>
          <cell r="W1441" t="str">
            <v>GQS</v>
          </cell>
          <cell r="Z1441">
            <v>78761</v>
          </cell>
        </row>
        <row r="1442">
          <cell r="S1442">
            <v>17224</v>
          </cell>
          <cell r="T1442">
            <v>16800</v>
          </cell>
          <cell r="U1442">
            <v>0</v>
          </cell>
          <cell r="W1442" t="str">
            <v>GQS</v>
          </cell>
          <cell r="Z1442">
            <v>34024</v>
          </cell>
        </row>
        <row r="1443">
          <cell r="S1443">
            <v>17224</v>
          </cell>
          <cell r="T1443">
            <v>16800</v>
          </cell>
          <cell r="U1443">
            <v>0</v>
          </cell>
          <cell r="W1443" t="str">
            <v>GQS</v>
          </cell>
          <cell r="Z1443">
            <v>34024</v>
          </cell>
        </row>
        <row r="1444">
          <cell r="S1444">
            <v>43061</v>
          </cell>
          <cell r="T1444">
            <v>23100</v>
          </cell>
          <cell r="U1444">
            <v>602572</v>
          </cell>
          <cell r="W1444" t="str">
            <v>GQS</v>
          </cell>
          <cell r="Z1444">
            <v>668733</v>
          </cell>
          <cell r="AB1444" t="str">
            <v>MAIN_UNIT</v>
          </cell>
        </row>
        <row r="1445">
          <cell r="S1445">
            <v>43061</v>
          </cell>
          <cell r="T1445">
            <v>25200</v>
          </cell>
          <cell r="U1445">
            <v>299936</v>
          </cell>
          <cell r="W1445" t="str">
            <v>GQS</v>
          </cell>
          <cell r="Z1445">
            <v>368197</v>
          </cell>
          <cell r="AB1445" t="str">
            <v>MAIN_UNIT</v>
          </cell>
        </row>
        <row r="1446">
          <cell r="S1446">
            <v>43061</v>
          </cell>
          <cell r="T1446">
            <v>16800</v>
          </cell>
          <cell r="U1446">
            <v>1461724</v>
          </cell>
          <cell r="W1446" t="str">
            <v>GQS</v>
          </cell>
          <cell r="Z1446">
            <v>1521585</v>
          </cell>
          <cell r="AB1446" t="str">
            <v>PANEL</v>
          </cell>
        </row>
        <row r="1447">
          <cell r="S1447">
            <v>86122</v>
          </cell>
          <cell r="T1447">
            <v>73500</v>
          </cell>
          <cell r="U1447">
            <v>0</v>
          </cell>
          <cell r="W1447" t="str">
            <v>GQS</v>
          </cell>
          <cell r="Z1447">
            <v>159622</v>
          </cell>
        </row>
        <row r="1448">
          <cell r="S1448">
            <v>43061</v>
          </cell>
          <cell r="T1448">
            <v>31500</v>
          </cell>
          <cell r="U1448">
            <v>0</v>
          </cell>
          <cell r="W1448" t="str">
            <v>GQS</v>
          </cell>
          <cell r="Z1448">
            <v>74561</v>
          </cell>
        </row>
        <row r="1449">
          <cell r="S1449">
            <v>43061</v>
          </cell>
          <cell r="T1449">
            <v>31500</v>
          </cell>
          <cell r="U1449">
            <v>0</v>
          </cell>
          <cell r="W1449" t="str">
            <v>GQS</v>
          </cell>
          <cell r="Z1449">
            <v>74561</v>
          </cell>
        </row>
        <row r="1450">
          <cell r="S1450">
            <v>25837</v>
          </cell>
          <cell r="T1450">
            <v>21000</v>
          </cell>
          <cell r="U1450">
            <v>0</v>
          </cell>
          <cell r="W1450" t="str">
            <v>GQS</v>
          </cell>
          <cell r="Z1450">
            <v>46837</v>
          </cell>
        </row>
        <row r="1451">
          <cell r="S1451">
            <v>43061</v>
          </cell>
          <cell r="T1451">
            <v>42000</v>
          </cell>
          <cell r="U1451">
            <v>0</v>
          </cell>
          <cell r="W1451" t="str">
            <v>GQS</v>
          </cell>
          <cell r="Z1451">
            <v>85061</v>
          </cell>
        </row>
        <row r="1452">
          <cell r="S1452">
            <v>17224</v>
          </cell>
          <cell r="T1452">
            <v>0</v>
          </cell>
          <cell r="U1452">
            <v>0</v>
          </cell>
          <cell r="W1452" t="str">
            <v>GQS</v>
          </cell>
          <cell r="Z1452">
            <v>17224</v>
          </cell>
        </row>
        <row r="1453">
          <cell r="S1453">
            <v>25837</v>
          </cell>
          <cell r="T1453">
            <v>0</v>
          </cell>
          <cell r="U1453">
            <v>0</v>
          </cell>
          <cell r="W1453" t="str">
            <v>GQS</v>
          </cell>
          <cell r="Z1453">
            <v>25837</v>
          </cell>
        </row>
        <row r="1454">
          <cell r="S1454">
            <v>25837</v>
          </cell>
          <cell r="T1454">
            <v>27300</v>
          </cell>
          <cell r="U1454">
            <v>0</v>
          </cell>
          <cell r="W1454" t="str">
            <v>GQS</v>
          </cell>
          <cell r="Z1454">
            <v>53137</v>
          </cell>
        </row>
        <row r="1455">
          <cell r="S1455">
            <v>17224</v>
          </cell>
          <cell r="T1455">
            <v>63000</v>
          </cell>
          <cell r="U1455">
            <v>120302</v>
          </cell>
          <cell r="W1455" t="str">
            <v>GQS</v>
          </cell>
          <cell r="Z1455">
            <v>200526</v>
          </cell>
          <cell r="AB1455" t="str">
            <v>MAIN_UNIT</v>
          </cell>
        </row>
        <row r="1456">
          <cell r="S1456">
            <v>17224</v>
          </cell>
          <cell r="T1456">
            <v>63000</v>
          </cell>
          <cell r="U1456">
            <v>969798</v>
          </cell>
          <cell r="W1456" t="str">
            <v>GQS</v>
          </cell>
          <cell r="Z1456">
            <v>1050022</v>
          </cell>
          <cell r="AB1456" t="str">
            <v>PANEL</v>
          </cell>
        </row>
        <row r="1457">
          <cell r="S1457">
            <v>25837</v>
          </cell>
          <cell r="T1457">
            <v>0</v>
          </cell>
          <cell r="U1457">
            <v>0</v>
          </cell>
          <cell r="W1457" t="str">
            <v>GQS</v>
          </cell>
          <cell r="Z1457">
            <v>25837</v>
          </cell>
        </row>
        <row r="1458">
          <cell r="S1458">
            <v>25837</v>
          </cell>
          <cell r="T1458">
            <v>8400</v>
          </cell>
          <cell r="U1458">
            <v>0</v>
          </cell>
          <cell r="W1458" t="str">
            <v>GQS</v>
          </cell>
          <cell r="Z1458">
            <v>34237</v>
          </cell>
        </row>
        <row r="1459">
          <cell r="S1459">
            <v>51673</v>
          </cell>
          <cell r="T1459">
            <v>21000</v>
          </cell>
          <cell r="U1459">
            <v>974850</v>
          </cell>
          <cell r="W1459" t="str">
            <v>GQS</v>
          </cell>
          <cell r="Z1459">
            <v>1047523</v>
          </cell>
          <cell r="AB1459" t="str">
            <v>MAIN_UNIT</v>
          </cell>
        </row>
        <row r="1460">
          <cell r="S1460">
            <v>17224</v>
          </cell>
          <cell r="T1460">
            <v>21000</v>
          </cell>
          <cell r="U1460">
            <v>0</v>
          </cell>
          <cell r="W1460" t="str">
            <v>GQS</v>
          </cell>
          <cell r="Z1460">
            <v>38224</v>
          </cell>
        </row>
        <row r="1461">
          <cell r="S1461">
            <v>86122</v>
          </cell>
          <cell r="T1461">
            <v>27300</v>
          </cell>
          <cell r="U1461">
            <v>12469</v>
          </cell>
          <cell r="W1461" t="str">
            <v>GQS</v>
          </cell>
          <cell r="Z1461">
            <v>125891</v>
          </cell>
          <cell r="AB1461" t="str">
            <v>REMOTE_CONTROL</v>
          </cell>
        </row>
        <row r="1462">
          <cell r="S1462">
            <v>77510</v>
          </cell>
          <cell r="T1462">
            <v>21000</v>
          </cell>
          <cell r="U1462">
            <v>0</v>
          </cell>
          <cell r="W1462" t="str">
            <v>GQS</v>
          </cell>
          <cell r="Z1462">
            <v>98510</v>
          </cell>
        </row>
        <row r="1463">
          <cell r="S1463">
            <v>60285</v>
          </cell>
          <cell r="T1463">
            <v>16800</v>
          </cell>
          <cell r="U1463">
            <v>569380</v>
          </cell>
          <cell r="W1463" t="str">
            <v>GQS</v>
          </cell>
          <cell r="Z1463">
            <v>646465</v>
          </cell>
          <cell r="AB1463" t="str">
            <v>PANEL</v>
          </cell>
        </row>
        <row r="1464">
          <cell r="S1464">
            <v>43061</v>
          </cell>
          <cell r="T1464">
            <v>0</v>
          </cell>
          <cell r="U1464">
            <v>0</v>
          </cell>
          <cell r="W1464" t="str">
            <v>GQS</v>
          </cell>
          <cell r="Z1464">
            <v>43061</v>
          </cell>
        </row>
        <row r="1465">
          <cell r="S1465">
            <v>25837</v>
          </cell>
          <cell r="T1465">
            <v>90300</v>
          </cell>
          <cell r="U1465">
            <v>1461724</v>
          </cell>
          <cell r="W1465" t="str">
            <v>GQS</v>
          </cell>
          <cell r="Z1465">
            <v>1577861</v>
          </cell>
          <cell r="AB1465" t="str">
            <v>PANEL</v>
          </cell>
        </row>
        <row r="1466">
          <cell r="S1466">
            <v>60285</v>
          </cell>
          <cell r="T1466">
            <v>16800</v>
          </cell>
          <cell r="U1466">
            <v>0</v>
          </cell>
          <cell r="W1466" t="str">
            <v>GQS</v>
          </cell>
          <cell r="Z1466">
            <v>77085</v>
          </cell>
        </row>
        <row r="1467">
          <cell r="S1467">
            <v>25837</v>
          </cell>
          <cell r="T1467">
            <v>27300</v>
          </cell>
          <cell r="U1467">
            <v>12469</v>
          </cell>
          <cell r="W1467" t="str">
            <v>GQS</v>
          </cell>
          <cell r="Z1467">
            <v>65606</v>
          </cell>
          <cell r="AB1467" t="str">
            <v>REMOTE_CONTROL</v>
          </cell>
        </row>
        <row r="1468">
          <cell r="S1468">
            <v>43061</v>
          </cell>
          <cell r="T1468">
            <v>0</v>
          </cell>
          <cell r="U1468">
            <v>0</v>
          </cell>
          <cell r="W1468" t="str">
            <v>GQS</v>
          </cell>
          <cell r="Z1468">
            <v>43061</v>
          </cell>
        </row>
        <row r="1469">
          <cell r="S1469">
            <v>43061</v>
          </cell>
          <cell r="T1469">
            <v>31500</v>
          </cell>
          <cell r="U1469">
            <v>0</v>
          </cell>
          <cell r="W1469" t="str">
            <v>GQS</v>
          </cell>
          <cell r="Z1469">
            <v>74561</v>
          </cell>
        </row>
        <row r="1470">
          <cell r="S1470">
            <v>43061</v>
          </cell>
          <cell r="T1470">
            <v>31500</v>
          </cell>
          <cell r="U1470">
            <v>0</v>
          </cell>
          <cell r="W1470" t="str">
            <v>GQS</v>
          </cell>
          <cell r="Z1470">
            <v>74561</v>
          </cell>
        </row>
        <row r="1471">
          <cell r="S1471">
            <v>25837</v>
          </cell>
          <cell r="T1471">
            <v>63000</v>
          </cell>
          <cell r="U1471">
            <v>0</v>
          </cell>
          <cell r="W1471" t="str">
            <v>GQS</v>
          </cell>
          <cell r="Z1471">
            <v>88837</v>
          </cell>
        </row>
        <row r="1472">
          <cell r="S1472">
            <v>43061</v>
          </cell>
          <cell r="T1472">
            <v>37800</v>
          </cell>
          <cell r="U1472">
            <v>12469</v>
          </cell>
          <cell r="W1472" t="str">
            <v>GQS</v>
          </cell>
          <cell r="Z1472">
            <v>93330</v>
          </cell>
          <cell r="AB1472" t="str">
            <v>REMOTE_CONTROL</v>
          </cell>
        </row>
        <row r="1473">
          <cell r="S1473">
            <v>68898</v>
          </cell>
          <cell r="T1473">
            <v>126000</v>
          </cell>
          <cell r="U1473">
            <v>569380</v>
          </cell>
          <cell r="W1473" t="str">
            <v>GQS</v>
          </cell>
          <cell r="Z1473">
            <v>764278</v>
          </cell>
          <cell r="AB1473" t="str">
            <v>PANEL</v>
          </cell>
        </row>
        <row r="1474">
          <cell r="S1474">
            <v>43061</v>
          </cell>
          <cell r="T1474">
            <v>52500</v>
          </cell>
          <cell r="U1474">
            <v>0</v>
          </cell>
          <cell r="W1474" t="str">
            <v>GQS</v>
          </cell>
          <cell r="Z1474">
            <v>95561</v>
          </cell>
        </row>
        <row r="1475">
          <cell r="S1475">
            <v>60285</v>
          </cell>
          <cell r="T1475">
            <v>142800</v>
          </cell>
          <cell r="U1475">
            <v>0</v>
          </cell>
          <cell r="W1475" t="str">
            <v>GQS</v>
          </cell>
          <cell r="Z1475">
            <v>203085</v>
          </cell>
        </row>
        <row r="1476">
          <cell r="S1476">
            <v>43061</v>
          </cell>
          <cell r="T1476">
            <v>21000</v>
          </cell>
          <cell r="U1476">
            <v>12469</v>
          </cell>
          <cell r="W1476" t="str">
            <v>GQS</v>
          </cell>
          <cell r="Z1476">
            <v>76530</v>
          </cell>
          <cell r="AB1476" t="str">
            <v>REMOTE_CONTROL</v>
          </cell>
        </row>
        <row r="1477">
          <cell r="S1477">
            <v>25837</v>
          </cell>
          <cell r="T1477">
            <v>168000</v>
          </cell>
          <cell r="U1477">
            <v>316601</v>
          </cell>
          <cell r="W1477" t="str">
            <v>GQS</v>
          </cell>
          <cell r="Z1477">
            <v>510438</v>
          </cell>
          <cell r="AB1477" t="str">
            <v>MAIN_UNIT</v>
          </cell>
        </row>
        <row r="1478">
          <cell r="S1478">
            <v>34449</v>
          </cell>
          <cell r="T1478">
            <v>21000</v>
          </cell>
          <cell r="U1478">
            <v>0</v>
          </cell>
          <cell r="W1478" t="str">
            <v>GQS</v>
          </cell>
          <cell r="Z1478">
            <v>55449</v>
          </cell>
        </row>
        <row r="1479">
          <cell r="S1479">
            <v>25837</v>
          </cell>
          <cell r="T1479">
            <v>0</v>
          </cell>
          <cell r="U1479">
            <v>0</v>
          </cell>
          <cell r="W1479" t="str">
            <v>GQS</v>
          </cell>
          <cell r="Z1479">
            <v>25837</v>
          </cell>
        </row>
        <row r="1480">
          <cell r="S1480">
            <v>43061</v>
          </cell>
          <cell r="T1480">
            <v>16800</v>
          </cell>
          <cell r="U1480">
            <v>0</v>
          </cell>
          <cell r="W1480" t="str">
            <v>GQS</v>
          </cell>
          <cell r="Z1480">
            <v>59861</v>
          </cell>
        </row>
        <row r="1481">
          <cell r="S1481">
            <v>43061</v>
          </cell>
          <cell r="T1481">
            <v>21000</v>
          </cell>
          <cell r="U1481">
            <v>0</v>
          </cell>
          <cell r="W1481" t="str">
            <v>GQS</v>
          </cell>
          <cell r="Z1481">
            <v>64061</v>
          </cell>
        </row>
        <row r="1482">
          <cell r="S1482">
            <v>43061</v>
          </cell>
          <cell r="T1482">
            <v>31500</v>
          </cell>
          <cell r="U1482">
            <v>299936</v>
          </cell>
          <cell r="W1482" t="str">
            <v>GQS</v>
          </cell>
          <cell r="Z1482">
            <v>374497</v>
          </cell>
          <cell r="AB1482" t="str">
            <v>MAIN_UNIT</v>
          </cell>
        </row>
        <row r="1483">
          <cell r="S1483">
            <v>25837</v>
          </cell>
          <cell r="T1483">
            <v>10500</v>
          </cell>
          <cell r="U1483">
            <v>0</v>
          </cell>
          <cell r="W1483" t="str">
            <v>GQS</v>
          </cell>
          <cell r="Z1483">
            <v>36337</v>
          </cell>
        </row>
        <row r="1484">
          <cell r="S1484">
            <v>34449</v>
          </cell>
          <cell r="T1484">
            <v>210000</v>
          </cell>
          <cell r="U1484">
            <v>569380</v>
          </cell>
          <cell r="W1484" t="str">
            <v>GQS</v>
          </cell>
          <cell r="Z1484">
            <v>813829</v>
          </cell>
          <cell r="AB1484" t="str">
            <v>PANEL</v>
          </cell>
        </row>
        <row r="1485">
          <cell r="S1485">
            <v>25837</v>
          </cell>
          <cell r="T1485">
            <v>21000</v>
          </cell>
          <cell r="U1485">
            <v>0</v>
          </cell>
          <cell r="W1485" t="str">
            <v>GQS</v>
          </cell>
          <cell r="Z1485">
            <v>46837</v>
          </cell>
        </row>
        <row r="1486">
          <cell r="S1486">
            <v>17224</v>
          </cell>
          <cell r="T1486">
            <v>42000</v>
          </cell>
          <cell r="U1486">
            <v>0</v>
          </cell>
          <cell r="W1486" t="str">
            <v>GQS</v>
          </cell>
          <cell r="Z1486">
            <v>59224</v>
          </cell>
        </row>
        <row r="1487">
          <cell r="S1487">
            <v>17224</v>
          </cell>
          <cell r="T1487">
            <v>42000</v>
          </cell>
          <cell r="U1487">
            <v>0</v>
          </cell>
          <cell r="W1487" t="str">
            <v>GQS</v>
          </cell>
          <cell r="Z1487">
            <v>59224</v>
          </cell>
        </row>
        <row r="1488">
          <cell r="S1488">
            <v>17224</v>
          </cell>
          <cell r="T1488">
            <v>42000</v>
          </cell>
          <cell r="U1488">
            <v>0</v>
          </cell>
          <cell r="W1488" t="str">
            <v>GQS</v>
          </cell>
          <cell r="Z1488">
            <v>59224</v>
          </cell>
        </row>
        <row r="1489">
          <cell r="S1489">
            <v>34449</v>
          </cell>
          <cell r="T1489">
            <v>31500</v>
          </cell>
          <cell r="U1489">
            <v>0</v>
          </cell>
          <cell r="W1489" t="str">
            <v>GQS</v>
          </cell>
          <cell r="Z1489">
            <v>65949</v>
          </cell>
        </row>
        <row r="1490">
          <cell r="S1490">
            <v>25837</v>
          </cell>
          <cell r="T1490">
            <v>63000</v>
          </cell>
          <cell r="U1490">
            <v>0</v>
          </cell>
          <cell r="W1490" t="str">
            <v>GQS</v>
          </cell>
          <cell r="Z1490">
            <v>88837</v>
          </cell>
        </row>
        <row r="1491">
          <cell r="S1491">
            <v>34449</v>
          </cell>
          <cell r="T1491">
            <v>63000</v>
          </cell>
          <cell r="U1491">
            <v>0</v>
          </cell>
          <cell r="W1491" t="str">
            <v>GQS</v>
          </cell>
          <cell r="Z1491">
            <v>97449</v>
          </cell>
        </row>
        <row r="1492">
          <cell r="S1492">
            <v>43061</v>
          </cell>
          <cell r="T1492">
            <v>25200</v>
          </cell>
          <cell r="U1492">
            <v>12469</v>
          </cell>
          <cell r="W1492" t="str">
            <v>GQS</v>
          </cell>
          <cell r="Z1492">
            <v>80730</v>
          </cell>
          <cell r="AB1492" t="str">
            <v>REMOTE_CONTROL</v>
          </cell>
        </row>
        <row r="1493">
          <cell r="S1493">
            <v>34449</v>
          </cell>
          <cell r="T1493">
            <v>21000</v>
          </cell>
          <cell r="U1493">
            <v>120302</v>
          </cell>
          <cell r="W1493" t="str">
            <v>GQS</v>
          </cell>
          <cell r="Z1493">
            <v>175751</v>
          </cell>
          <cell r="AB1493" t="str">
            <v>MAIN_UNIT</v>
          </cell>
        </row>
        <row r="1494">
          <cell r="S1494">
            <v>43061</v>
          </cell>
          <cell r="T1494">
            <v>21000</v>
          </cell>
          <cell r="U1494">
            <v>1053784</v>
          </cell>
          <cell r="W1494" t="str">
            <v>GQS</v>
          </cell>
          <cell r="Z1494">
            <v>1117845</v>
          </cell>
          <cell r="AB1494" t="str">
            <v>MAIN_UNIT</v>
          </cell>
        </row>
        <row r="1495">
          <cell r="S1495">
            <v>68898</v>
          </cell>
          <cell r="T1495">
            <v>63000</v>
          </cell>
          <cell r="U1495">
            <v>0</v>
          </cell>
          <cell r="W1495" t="str">
            <v>GQS</v>
          </cell>
          <cell r="Z1495">
            <v>131898</v>
          </cell>
        </row>
        <row r="1496">
          <cell r="S1496">
            <v>51673</v>
          </cell>
          <cell r="T1496">
            <v>54600</v>
          </cell>
          <cell r="U1496">
            <v>105000</v>
          </cell>
          <cell r="W1496" t="str">
            <v>GQS</v>
          </cell>
          <cell r="Z1496">
            <v>211273</v>
          </cell>
          <cell r="AB1496" t="str">
            <v>PART_KIT</v>
          </cell>
        </row>
        <row r="1497">
          <cell r="S1497">
            <v>86122</v>
          </cell>
          <cell r="T1497">
            <v>10500</v>
          </cell>
          <cell r="U1497">
            <v>1461724</v>
          </cell>
          <cell r="W1497" t="str">
            <v>GQS</v>
          </cell>
          <cell r="Z1497">
            <v>1558346</v>
          </cell>
          <cell r="AB1497" t="str">
            <v>PANEL</v>
          </cell>
        </row>
        <row r="1498">
          <cell r="S1498">
            <v>43061</v>
          </cell>
          <cell r="T1498">
            <v>35700</v>
          </cell>
          <cell r="U1498">
            <v>297604</v>
          </cell>
          <cell r="W1498" t="str">
            <v>GQS</v>
          </cell>
          <cell r="Z1498">
            <v>376365</v>
          </cell>
          <cell r="AB1498" t="str">
            <v>MAIN_UNIT</v>
          </cell>
        </row>
        <row r="1499">
          <cell r="S1499">
            <v>86122</v>
          </cell>
          <cell r="T1499">
            <v>42000</v>
          </cell>
          <cell r="U1499">
            <v>0</v>
          </cell>
          <cell r="W1499" t="str">
            <v>GQS</v>
          </cell>
          <cell r="Z1499">
            <v>128122</v>
          </cell>
        </row>
        <row r="1500">
          <cell r="S1500">
            <v>86122</v>
          </cell>
          <cell r="T1500">
            <v>42000</v>
          </cell>
          <cell r="U1500">
            <v>0</v>
          </cell>
          <cell r="W1500" t="str">
            <v>GQS</v>
          </cell>
          <cell r="Z1500">
            <v>128122</v>
          </cell>
        </row>
        <row r="1501">
          <cell r="S1501">
            <v>43061</v>
          </cell>
          <cell r="T1501">
            <v>23100</v>
          </cell>
          <cell r="U1501">
            <v>0</v>
          </cell>
          <cell r="W1501" t="str">
            <v>GQS</v>
          </cell>
          <cell r="Z1501">
            <v>66161</v>
          </cell>
        </row>
        <row r="1502">
          <cell r="S1502">
            <v>86122</v>
          </cell>
          <cell r="T1502">
            <v>21000</v>
          </cell>
          <cell r="U1502">
            <v>0</v>
          </cell>
          <cell r="W1502" t="str">
            <v>GQS</v>
          </cell>
          <cell r="Z1502">
            <v>107122</v>
          </cell>
        </row>
        <row r="1503">
          <cell r="S1503">
            <v>51673</v>
          </cell>
          <cell r="T1503">
            <v>21000</v>
          </cell>
          <cell r="U1503">
            <v>0</v>
          </cell>
          <cell r="W1503" t="str">
            <v>GQS</v>
          </cell>
          <cell r="Z1503">
            <v>72673</v>
          </cell>
        </row>
        <row r="1504">
          <cell r="S1504">
            <v>43061</v>
          </cell>
          <cell r="T1504">
            <v>37800</v>
          </cell>
          <cell r="U1504">
            <v>1136334</v>
          </cell>
          <cell r="W1504" t="str">
            <v>GQS</v>
          </cell>
          <cell r="Z1504">
            <v>1217195</v>
          </cell>
          <cell r="AB1504" t="str">
            <v>PANEL</v>
          </cell>
        </row>
        <row r="1505">
          <cell r="S1505">
            <v>0</v>
          </cell>
          <cell r="T1505">
            <v>0</v>
          </cell>
          <cell r="U1505">
            <v>0</v>
          </cell>
          <cell r="W1505" t="str">
            <v>GQS</v>
          </cell>
          <cell r="Z1505">
            <v>0</v>
          </cell>
          <cell r="AB1505" t="str">
            <v>TAPE</v>
          </cell>
        </row>
        <row r="1506">
          <cell r="S1506">
            <v>51673</v>
          </cell>
          <cell r="T1506">
            <v>16800</v>
          </cell>
          <cell r="U1506">
            <v>297604</v>
          </cell>
          <cell r="W1506" t="str">
            <v>GQS</v>
          </cell>
          <cell r="Z1506">
            <v>366077</v>
          </cell>
          <cell r="AB1506" t="str">
            <v>MAIN_UNIT</v>
          </cell>
        </row>
        <row r="1507">
          <cell r="S1507">
            <v>8612</v>
          </cell>
          <cell r="T1507">
            <v>6300</v>
          </cell>
          <cell r="U1507">
            <v>0</v>
          </cell>
          <cell r="W1507" t="str">
            <v>GQS</v>
          </cell>
          <cell r="Z1507">
            <v>14912</v>
          </cell>
        </row>
        <row r="1508">
          <cell r="S1508">
            <v>51673</v>
          </cell>
          <cell r="T1508">
            <v>6300</v>
          </cell>
          <cell r="U1508">
            <v>0</v>
          </cell>
          <cell r="W1508" t="str">
            <v>GQS</v>
          </cell>
          <cell r="Z1508">
            <v>57973</v>
          </cell>
        </row>
        <row r="1509">
          <cell r="S1509">
            <v>17224</v>
          </cell>
          <cell r="T1509">
            <v>0</v>
          </cell>
          <cell r="U1509">
            <v>0</v>
          </cell>
          <cell r="W1509" t="str">
            <v>GQS</v>
          </cell>
          <cell r="Z1509">
            <v>17224</v>
          </cell>
        </row>
        <row r="1510">
          <cell r="S1510">
            <v>77510</v>
          </cell>
          <cell r="T1510">
            <v>29400</v>
          </cell>
          <cell r="U1510">
            <v>1055402</v>
          </cell>
          <cell r="W1510" t="str">
            <v>GQS</v>
          </cell>
          <cell r="Z1510">
            <v>1162312</v>
          </cell>
          <cell r="AB1510" t="str">
            <v>MAIN_UNIT</v>
          </cell>
        </row>
        <row r="1511">
          <cell r="S1511">
            <v>86122</v>
          </cell>
          <cell r="T1511">
            <v>21000</v>
          </cell>
          <cell r="U1511">
            <v>316601</v>
          </cell>
          <cell r="W1511" t="str">
            <v>GQS</v>
          </cell>
          <cell r="Z1511">
            <v>423723</v>
          </cell>
          <cell r="AB1511" t="str">
            <v>MAIN_UNIT</v>
          </cell>
        </row>
        <row r="1512">
          <cell r="S1512">
            <v>51673</v>
          </cell>
          <cell r="T1512">
            <v>6300</v>
          </cell>
          <cell r="U1512">
            <v>550000</v>
          </cell>
          <cell r="W1512" t="str">
            <v>GQS</v>
          </cell>
          <cell r="Z1512">
            <v>607973</v>
          </cell>
          <cell r="AB1512" t="str">
            <v>PANEL</v>
          </cell>
        </row>
        <row r="1513">
          <cell r="S1513">
            <v>43061</v>
          </cell>
          <cell r="T1513">
            <v>378000</v>
          </cell>
          <cell r="U1513">
            <v>809835</v>
          </cell>
          <cell r="W1513" t="str">
            <v>GQS</v>
          </cell>
          <cell r="Z1513">
            <v>1230896</v>
          </cell>
          <cell r="AB1513" t="str">
            <v>PANEL</v>
          </cell>
        </row>
        <row r="1514">
          <cell r="S1514">
            <v>17224</v>
          </cell>
          <cell r="T1514">
            <v>0</v>
          </cell>
          <cell r="U1514">
            <v>0</v>
          </cell>
          <cell r="W1514" t="str">
            <v>GQS</v>
          </cell>
          <cell r="Z1514">
            <v>17224</v>
          </cell>
        </row>
        <row r="1515">
          <cell r="S1515">
            <v>43061</v>
          </cell>
          <cell r="T1515">
            <v>10500</v>
          </cell>
          <cell r="U1515">
            <v>969798</v>
          </cell>
          <cell r="W1515" t="str">
            <v>GQS</v>
          </cell>
          <cell r="Z1515">
            <v>1023359</v>
          </cell>
          <cell r="AB1515" t="str">
            <v>PANEL</v>
          </cell>
        </row>
        <row r="1516">
          <cell r="S1516">
            <v>8612</v>
          </cell>
          <cell r="T1516">
            <v>2100</v>
          </cell>
          <cell r="U1516">
            <v>0</v>
          </cell>
          <cell r="W1516" t="str">
            <v>GQS</v>
          </cell>
          <cell r="Z1516">
            <v>10712</v>
          </cell>
        </row>
        <row r="1517">
          <cell r="S1517">
            <v>43061</v>
          </cell>
          <cell r="T1517">
            <v>126000</v>
          </cell>
          <cell r="U1517">
            <v>0</v>
          </cell>
          <cell r="W1517" t="str">
            <v>GQS</v>
          </cell>
          <cell r="Z1517">
            <v>169061</v>
          </cell>
        </row>
        <row r="1518">
          <cell r="S1518">
            <v>43061</v>
          </cell>
          <cell r="T1518">
            <v>21000</v>
          </cell>
          <cell r="U1518">
            <v>0</v>
          </cell>
          <cell r="W1518" t="str">
            <v>GQS</v>
          </cell>
          <cell r="Z1518">
            <v>64061</v>
          </cell>
        </row>
        <row r="1519">
          <cell r="S1519">
            <v>86122</v>
          </cell>
          <cell r="T1519">
            <v>10500</v>
          </cell>
          <cell r="U1519">
            <v>969798</v>
          </cell>
          <cell r="W1519" t="str">
            <v>GQS</v>
          </cell>
          <cell r="Z1519">
            <v>1066420</v>
          </cell>
          <cell r="AB1519" t="str">
            <v>PANEL</v>
          </cell>
        </row>
        <row r="1520">
          <cell r="S1520">
            <v>43061</v>
          </cell>
          <cell r="T1520">
            <v>10500</v>
          </cell>
          <cell r="U1520">
            <v>0</v>
          </cell>
          <cell r="W1520" t="str">
            <v>GQS</v>
          </cell>
          <cell r="Z1520">
            <v>53561</v>
          </cell>
        </row>
        <row r="1521">
          <cell r="S1521">
            <v>86122</v>
          </cell>
          <cell r="T1521">
            <v>31500</v>
          </cell>
          <cell r="U1521">
            <v>1372403</v>
          </cell>
          <cell r="W1521" t="str">
            <v>GQS</v>
          </cell>
          <cell r="Z1521">
            <v>1490025</v>
          </cell>
          <cell r="AB1521" t="str">
            <v>MAIN_UNIT</v>
          </cell>
        </row>
        <row r="1522">
          <cell r="S1522">
            <v>86122</v>
          </cell>
          <cell r="T1522">
            <v>21000</v>
          </cell>
          <cell r="U1522">
            <v>0</v>
          </cell>
          <cell r="W1522" t="str">
            <v>GQS</v>
          </cell>
          <cell r="Z1522">
            <v>107122</v>
          </cell>
        </row>
        <row r="1523">
          <cell r="S1523">
            <v>86122</v>
          </cell>
          <cell r="T1523">
            <v>21000</v>
          </cell>
          <cell r="U1523">
            <v>747347</v>
          </cell>
          <cell r="W1523" t="str">
            <v>GQS</v>
          </cell>
          <cell r="Z1523">
            <v>854469</v>
          </cell>
          <cell r="AB1523" t="str">
            <v>MAIN_UNIT</v>
          </cell>
        </row>
        <row r="1524">
          <cell r="S1524">
            <v>25837</v>
          </cell>
          <cell r="T1524">
            <v>46200</v>
          </cell>
          <cell r="U1524">
            <v>0</v>
          </cell>
          <cell r="W1524" t="str">
            <v>GQS</v>
          </cell>
          <cell r="Z1524">
            <v>72037</v>
          </cell>
        </row>
        <row r="1525">
          <cell r="S1525">
            <v>43061</v>
          </cell>
          <cell r="T1525">
            <v>25200</v>
          </cell>
          <cell r="U1525">
            <v>0</v>
          </cell>
          <cell r="W1525" t="str">
            <v>GQS</v>
          </cell>
          <cell r="Z1525">
            <v>68261</v>
          </cell>
        </row>
        <row r="1526">
          <cell r="S1526">
            <v>43061</v>
          </cell>
          <cell r="T1526">
            <v>84000</v>
          </cell>
          <cell r="U1526">
            <v>610637</v>
          </cell>
          <cell r="W1526" t="str">
            <v>GQS</v>
          </cell>
          <cell r="Z1526">
            <v>737698</v>
          </cell>
          <cell r="AB1526" t="str">
            <v>MAIN_UNIT</v>
          </cell>
        </row>
        <row r="1527">
          <cell r="S1527">
            <v>86122</v>
          </cell>
          <cell r="T1527">
            <v>115500</v>
          </cell>
          <cell r="U1527">
            <v>297603</v>
          </cell>
          <cell r="W1527" t="str">
            <v>GQS</v>
          </cell>
          <cell r="Z1527">
            <v>499225</v>
          </cell>
          <cell r="AB1527" t="str">
            <v>MAIN_UNIT</v>
          </cell>
        </row>
        <row r="1528">
          <cell r="S1528">
            <v>43061</v>
          </cell>
          <cell r="T1528">
            <v>21000</v>
          </cell>
          <cell r="U1528">
            <v>1053784</v>
          </cell>
          <cell r="W1528" t="str">
            <v>GQS</v>
          </cell>
          <cell r="Z1528">
            <v>1117845</v>
          </cell>
          <cell r="AB1528" t="str">
            <v>MAIN_UNIT</v>
          </cell>
        </row>
        <row r="1529">
          <cell r="S1529">
            <v>86122</v>
          </cell>
          <cell r="T1529">
            <v>21000</v>
          </cell>
          <cell r="U1529">
            <v>1055402</v>
          </cell>
          <cell r="W1529" t="str">
            <v>GQS</v>
          </cell>
          <cell r="Z1529">
            <v>1162524</v>
          </cell>
          <cell r="AB1529" t="str">
            <v>MAIN_UNIT</v>
          </cell>
        </row>
        <row r="1530">
          <cell r="S1530">
            <v>77510</v>
          </cell>
          <cell r="T1530">
            <v>29400</v>
          </cell>
          <cell r="U1530">
            <v>1068810</v>
          </cell>
          <cell r="W1530" t="str">
            <v>GQS</v>
          </cell>
          <cell r="Z1530">
            <v>1175720</v>
          </cell>
          <cell r="AB1530" t="str">
            <v>PANEL</v>
          </cell>
        </row>
        <row r="1531">
          <cell r="S1531">
            <v>43061</v>
          </cell>
          <cell r="T1531">
            <v>31500</v>
          </cell>
          <cell r="U1531">
            <v>107875</v>
          </cell>
          <cell r="W1531" t="str">
            <v>GQS</v>
          </cell>
          <cell r="Z1531">
            <v>182436</v>
          </cell>
          <cell r="AB1531" t="str">
            <v>POWER_UNIT</v>
          </cell>
        </row>
        <row r="1532">
          <cell r="S1532">
            <v>17224</v>
          </cell>
          <cell r="T1532">
            <v>0</v>
          </cell>
          <cell r="U1532">
            <v>0</v>
          </cell>
          <cell r="W1532" t="str">
            <v>GQS</v>
          </cell>
          <cell r="Z1532">
            <v>17224</v>
          </cell>
        </row>
        <row r="1533">
          <cell r="S1533">
            <v>68898</v>
          </cell>
          <cell r="T1533">
            <v>33600</v>
          </cell>
          <cell r="U1533">
            <v>297604</v>
          </cell>
          <cell r="W1533" t="str">
            <v>GQS</v>
          </cell>
          <cell r="Z1533">
            <v>400102</v>
          </cell>
          <cell r="AB1533" t="str">
            <v>MAIN_UNIT</v>
          </cell>
        </row>
        <row r="1534">
          <cell r="S1534">
            <v>17224</v>
          </cell>
          <cell r="T1534">
            <v>0</v>
          </cell>
          <cell r="U1534">
            <v>0</v>
          </cell>
          <cell r="W1534" t="str">
            <v>GQS</v>
          </cell>
          <cell r="Z1534">
            <v>17224</v>
          </cell>
        </row>
        <row r="1535">
          <cell r="S1535">
            <v>43061</v>
          </cell>
          <cell r="T1535">
            <v>199500</v>
          </cell>
          <cell r="U1535">
            <v>299936</v>
          </cell>
          <cell r="W1535" t="str">
            <v>GQS</v>
          </cell>
          <cell r="Z1535">
            <v>542497</v>
          </cell>
          <cell r="AB1535" t="str">
            <v>MAIN_UNIT</v>
          </cell>
        </row>
        <row r="1536">
          <cell r="S1536">
            <v>86122</v>
          </cell>
          <cell r="T1536">
            <v>21000</v>
          </cell>
          <cell r="U1536">
            <v>316601</v>
          </cell>
          <cell r="W1536" t="str">
            <v>GQS</v>
          </cell>
          <cell r="Z1536">
            <v>423723</v>
          </cell>
          <cell r="AB1536" t="str">
            <v>MAIN_UNIT</v>
          </cell>
        </row>
        <row r="1537">
          <cell r="S1537">
            <v>25837</v>
          </cell>
          <cell r="T1537">
            <v>6300</v>
          </cell>
          <cell r="U1537">
            <v>969798</v>
          </cell>
          <cell r="W1537" t="str">
            <v>GQS</v>
          </cell>
          <cell r="Z1537">
            <v>1001935</v>
          </cell>
          <cell r="AB1537" t="str">
            <v>PANEL</v>
          </cell>
        </row>
        <row r="1538">
          <cell r="S1538">
            <v>25837</v>
          </cell>
          <cell r="T1538">
            <v>4200</v>
          </cell>
          <cell r="U1538">
            <v>0</v>
          </cell>
          <cell r="W1538" t="str">
            <v>GQS</v>
          </cell>
          <cell r="Z1538">
            <v>30037</v>
          </cell>
        </row>
        <row r="1539">
          <cell r="S1539">
            <v>60285</v>
          </cell>
          <cell r="T1539">
            <v>42000</v>
          </cell>
          <cell r="U1539">
            <v>0</v>
          </cell>
          <cell r="W1539" t="str">
            <v>GQS</v>
          </cell>
          <cell r="Z1539">
            <v>102285</v>
          </cell>
        </row>
        <row r="1540">
          <cell r="S1540">
            <v>86122</v>
          </cell>
          <cell r="T1540">
            <v>37800</v>
          </cell>
          <cell r="U1540">
            <v>0</v>
          </cell>
          <cell r="W1540" t="str">
            <v>GQS</v>
          </cell>
          <cell r="Z1540">
            <v>123922</v>
          </cell>
        </row>
        <row r="1541">
          <cell r="S1541">
            <v>86122</v>
          </cell>
          <cell r="T1541">
            <v>21000</v>
          </cell>
          <cell r="U1541">
            <v>969798</v>
          </cell>
          <cell r="W1541" t="str">
            <v>GQS</v>
          </cell>
          <cell r="Z1541">
            <v>1076920</v>
          </cell>
          <cell r="AB1541" t="str">
            <v>PANEL</v>
          </cell>
        </row>
        <row r="1542">
          <cell r="S1542">
            <v>17224</v>
          </cell>
          <cell r="T1542">
            <v>0</v>
          </cell>
          <cell r="U1542">
            <v>0</v>
          </cell>
          <cell r="W1542" t="str">
            <v>GQS</v>
          </cell>
          <cell r="Z1542">
            <v>17224</v>
          </cell>
        </row>
        <row r="1543">
          <cell r="S1543">
            <v>17224</v>
          </cell>
          <cell r="T1543">
            <v>0</v>
          </cell>
          <cell r="U1543">
            <v>0</v>
          </cell>
          <cell r="W1543" t="str">
            <v>GQS</v>
          </cell>
          <cell r="Z1543">
            <v>17224</v>
          </cell>
        </row>
        <row r="1544">
          <cell r="S1544">
            <v>17224</v>
          </cell>
          <cell r="T1544">
            <v>0</v>
          </cell>
          <cell r="U1544">
            <v>0</v>
          </cell>
          <cell r="W1544" t="str">
            <v>GQS</v>
          </cell>
          <cell r="Z1544">
            <v>17224</v>
          </cell>
        </row>
        <row r="1545">
          <cell r="S1545">
            <v>17224</v>
          </cell>
          <cell r="T1545">
            <v>0</v>
          </cell>
          <cell r="U1545">
            <v>0</v>
          </cell>
          <cell r="W1545" t="str">
            <v>GQS</v>
          </cell>
          <cell r="Z1545">
            <v>17224</v>
          </cell>
        </row>
        <row r="1546">
          <cell r="S1546">
            <v>17224</v>
          </cell>
          <cell r="T1546">
            <v>0</v>
          </cell>
          <cell r="U1546">
            <v>0</v>
          </cell>
          <cell r="W1546" t="str">
            <v>GQS</v>
          </cell>
          <cell r="Z1546">
            <v>17224</v>
          </cell>
        </row>
        <row r="1547">
          <cell r="S1547">
            <v>17224</v>
          </cell>
          <cell r="T1547">
            <v>0</v>
          </cell>
          <cell r="U1547">
            <v>0</v>
          </cell>
          <cell r="W1547" t="str">
            <v>GQS</v>
          </cell>
          <cell r="Z1547">
            <v>17224</v>
          </cell>
        </row>
        <row r="1548">
          <cell r="S1548">
            <v>43061</v>
          </cell>
          <cell r="T1548">
            <v>21000</v>
          </cell>
          <cell r="U1548">
            <v>969798</v>
          </cell>
          <cell r="W1548" t="str">
            <v>GQS</v>
          </cell>
          <cell r="Z1548">
            <v>1033859</v>
          </cell>
          <cell r="AB1548" t="str">
            <v>PANEL</v>
          </cell>
        </row>
        <row r="1549">
          <cell r="S1549">
            <v>77510</v>
          </cell>
          <cell r="T1549">
            <v>84000</v>
          </cell>
          <cell r="U1549">
            <v>0</v>
          </cell>
          <cell r="W1549" t="str">
            <v>GQS</v>
          </cell>
          <cell r="Z1549">
            <v>161510</v>
          </cell>
        </row>
        <row r="1550">
          <cell r="S1550">
            <v>25837</v>
          </cell>
          <cell r="T1550">
            <v>31500</v>
          </cell>
          <cell r="U1550">
            <v>12469</v>
          </cell>
          <cell r="W1550" t="str">
            <v>GQS</v>
          </cell>
          <cell r="Z1550">
            <v>69806</v>
          </cell>
          <cell r="AB1550" t="str">
            <v>REMOTE_CONTROL</v>
          </cell>
        </row>
        <row r="1551">
          <cell r="S1551">
            <v>68897</v>
          </cell>
          <cell r="T1551">
            <v>0</v>
          </cell>
          <cell r="U1551">
            <v>21760</v>
          </cell>
          <cell r="W1551" t="str">
            <v>GQS</v>
          </cell>
          <cell r="Z1551">
            <v>90657</v>
          </cell>
          <cell r="AB1551" t="str">
            <v>REMOTE_CONTROL</v>
          </cell>
        </row>
        <row r="1552">
          <cell r="S1552">
            <v>25837</v>
          </cell>
          <cell r="T1552">
            <v>18900</v>
          </cell>
          <cell r="U1552">
            <v>0</v>
          </cell>
          <cell r="W1552" t="str">
            <v>GQS</v>
          </cell>
          <cell r="Z1552">
            <v>44737</v>
          </cell>
        </row>
        <row r="1553">
          <cell r="S1553">
            <v>25837</v>
          </cell>
          <cell r="T1553">
            <v>10500</v>
          </cell>
          <cell r="U1553">
            <v>0</v>
          </cell>
          <cell r="W1553" t="str">
            <v>GQS</v>
          </cell>
          <cell r="Z1553">
            <v>36337</v>
          </cell>
        </row>
        <row r="1554">
          <cell r="S1554">
            <v>25837</v>
          </cell>
          <cell r="T1554">
            <v>21000</v>
          </cell>
          <cell r="U1554">
            <v>0</v>
          </cell>
          <cell r="W1554" t="str">
            <v>GQS</v>
          </cell>
          <cell r="Z1554">
            <v>46837</v>
          </cell>
        </row>
        <row r="1555">
          <cell r="S1555">
            <v>43061</v>
          </cell>
          <cell r="T1555">
            <v>10500</v>
          </cell>
          <cell r="U1555">
            <v>969798</v>
          </cell>
          <cell r="W1555" t="str">
            <v>GQS</v>
          </cell>
          <cell r="Z1555">
            <v>1023359</v>
          </cell>
          <cell r="AB1555" t="str">
            <v>PANEL</v>
          </cell>
        </row>
        <row r="1556">
          <cell r="S1556">
            <v>43061</v>
          </cell>
          <cell r="T1556">
            <v>21000</v>
          </cell>
          <cell r="U1556">
            <v>0</v>
          </cell>
          <cell r="W1556" t="str">
            <v>GQS</v>
          </cell>
          <cell r="Z1556">
            <v>64061</v>
          </cell>
        </row>
        <row r="1557">
          <cell r="S1557">
            <v>17224</v>
          </cell>
          <cell r="T1557">
            <v>14700</v>
          </cell>
          <cell r="U1557">
            <v>0</v>
          </cell>
          <cell r="W1557" t="str">
            <v>GQS</v>
          </cell>
          <cell r="Z1557">
            <v>31924</v>
          </cell>
        </row>
        <row r="1558">
          <cell r="S1558">
            <v>86122</v>
          </cell>
          <cell r="T1558">
            <v>0</v>
          </cell>
          <cell r="U1558">
            <v>1461724</v>
          </cell>
          <cell r="W1558" t="str">
            <v>GQS</v>
          </cell>
          <cell r="Z1558">
            <v>1547846</v>
          </cell>
          <cell r="AB1558" t="str">
            <v>PANEL</v>
          </cell>
        </row>
        <row r="1559">
          <cell r="S1559">
            <v>43061</v>
          </cell>
          <cell r="T1559">
            <v>63000</v>
          </cell>
          <cell r="U1559">
            <v>0</v>
          </cell>
          <cell r="W1559" t="str">
            <v>GQS</v>
          </cell>
          <cell r="Z1559">
            <v>106061</v>
          </cell>
        </row>
        <row r="1560">
          <cell r="S1560">
            <v>43061</v>
          </cell>
          <cell r="T1560">
            <v>21000</v>
          </cell>
          <cell r="U1560">
            <v>297604</v>
          </cell>
          <cell r="W1560" t="str">
            <v>GQS</v>
          </cell>
          <cell r="Z1560">
            <v>361665</v>
          </cell>
          <cell r="AB1560" t="str">
            <v>MAIN_UNIT</v>
          </cell>
        </row>
        <row r="1561">
          <cell r="S1561">
            <v>25837</v>
          </cell>
          <cell r="T1561">
            <v>10500</v>
          </cell>
          <cell r="U1561">
            <v>0</v>
          </cell>
          <cell r="W1561" t="str">
            <v>GQS</v>
          </cell>
          <cell r="Z1561">
            <v>36337</v>
          </cell>
        </row>
        <row r="1562">
          <cell r="S1562">
            <v>43061</v>
          </cell>
          <cell r="T1562">
            <v>21000</v>
          </cell>
          <cell r="U1562">
            <v>569380</v>
          </cell>
          <cell r="W1562" t="str">
            <v>GQS</v>
          </cell>
          <cell r="Z1562">
            <v>633441</v>
          </cell>
          <cell r="AB1562" t="str">
            <v>PANEL</v>
          </cell>
        </row>
        <row r="1563">
          <cell r="S1563">
            <v>25837</v>
          </cell>
          <cell r="T1563">
            <v>42000</v>
          </cell>
          <cell r="U1563">
            <v>0</v>
          </cell>
          <cell r="W1563" t="str">
            <v>GQS</v>
          </cell>
          <cell r="Z1563">
            <v>67837</v>
          </cell>
        </row>
        <row r="1564">
          <cell r="S1564">
            <v>25837</v>
          </cell>
          <cell r="T1564">
            <v>39900</v>
          </cell>
          <cell r="U1564">
            <v>0</v>
          </cell>
          <cell r="W1564" t="str">
            <v>GQS</v>
          </cell>
          <cell r="Z1564">
            <v>65737</v>
          </cell>
        </row>
        <row r="1565">
          <cell r="S1565">
            <v>43061</v>
          </cell>
          <cell r="T1565">
            <v>63000</v>
          </cell>
          <cell r="U1565">
            <v>12469</v>
          </cell>
          <cell r="W1565" t="str">
            <v>GQS</v>
          </cell>
          <cell r="Z1565">
            <v>118530</v>
          </cell>
          <cell r="AB1565" t="str">
            <v>REMOTE_CONTROL</v>
          </cell>
        </row>
        <row r="1566">
          <cell r="S1566">
            <v>8612</v>
          </cell>
          <cell r="T1566">
            <v>0</v>
          </cell>
          <cell r="U1566">
            <v>0</v>
          </cell>
          <cell r="W1566" t="str">
            <v>GQS</v>
          </cell>
          <cell r="Z1566">
            <v>8612</v>
          </cell>
        </row>
        <row r="1567">
          <cell r="S1567">
            <v>86122</v>
          </cell>
          <cell r="T1567">
            <v>21000</v>
          </cell>
          <cell r="U1567">
            <v>1053784</v>
          </cell>
          <cell r="W1567" t="str">
            <v>GQS</v>
          </cell>
          <cell r="Z1567">
            <v>1160906</v>
          </cell>
          <cell r="AB1567" t="str">
            <v>MAIN_UNIT</v>
          </cell>
        </row>
        <row r="1568">
          <cell r="S1568">
            <v>43061</v>
          </cell>
          <cell r="T1568">
            <v>231000</v>
          </cell>
          <cell r="U1568">
            <v>0</v>
          </cell>
          <cell r="W1568" t="str">
            <v>GQS</v>
          </cell>
          <cell r="Z1568">
            <v>274061</v>
          </cell>
        </row>
        <row r="1569">
          <cell r="S1569">
            <v>86122</v>
          </cell>
          <cell r="T1569">
            <v>14700</v>
          </cell>
          <cell r="U1569">
            <v>969798</v>
          </cell>
          <cell r="W1569" t="str">
            <v>GQS</v>
          </cell>
          <cell r="Z1569">
            <v>1070620</v>
          </cell>
          <cell r="AB1569" t="str">
            <v>PANEL</v>
          </cell>
        </row>
        <row r="1570">
          <cell r="S1570">
            <v>68898</v>
          </cell>
          <cell r="T1570">
            <v>35700</v>
          </cell>
          <cell r="U1570">
            <v>297604</v>
          </cell>
          <cell r="W1570" t="str">
            <v>GQS</v>
          </cell>
          <cell r="Z1570">
            <v>402202</v>
          </cell>
          <cell r="AB1570" t="str">
            <v>MAIN_UNIT</v>
          </cell>
        </row>
        <row r="1571">
          <cell r="S1571">
            <v>43061</v>
          </cell>
          <cell r="T1571">
            <v>10500</v>
          </cell>
          <cell r="U1571">
            <v>1075829</v>
          </cell>
          <cell r="W1571" t="str">
            <v>GQS</v>
          </cell>
          <cell r="Z1571">
            <v>1129390</v>
          </cell>
          <cell r="AB1571" t="str">
            <v>POWER_UNIT</v>
          </cell>
        </row>
        <row r="1572">
          <cell r="S1572">
            <v>43061</v>
          </cell>
          <cell r="T1572">
            <v>63000</v>
          </cell>
          <cell r="U1572">
            <v>0</v>
          </cell>
          <cell r="W1572" t="str">
            <v>GQS</v>
          </cell>
          <cell r="Z1572">
            <v>106061</v>
          </cell>
        </row>
        <row r="1573">
          <cell r="S1573">
            <v>34449</v>
          </cell>
          <cell r="T1573">
            <v>10500</v>
          </cell>
          <cell r="U1573">
            <v>0</v>
          </cell>
          <cell r="W1573" t="str">
            <v>GQS</v>
          </cell>
          <cell r="Z1573">
            <v>44949</v>
          </cell>
        </row>
        <row r="1574">
          <cell r="S1574">
            <v>86122</v>
          </cell>
          <cell r="T1574">
            <v>63000</v>
          </cell>
          <cell r="U1574">
            <v>0</v>
          </cell>
          <cell r="W1574" t="str">
            <v>GQS</v>
          </cell>
          <cell r="Z1574">
            <v>149122</v>
          </cell>
        </row>
        <row r="1575">
          <cell r="S1575">
            <v>43061</v>
          </cell>
          <cell r="T1575">
            <v>21000</v>
          </cell>
          <cell r="U1575">
            <v>969798</v>
          </cell>
          <cell r="W1575" t="str">
            <v>GQS</v>
          </cell>
          <cell r="Z1575">
            <v>1033859</v>
          </cell>
          <cell r="AB1575" t="str">
            <v>PANEL</v>
          </cell>
        </row>
        <row r="1576">
          <cell r="S1576">
            <v>43061</v>
          </cell>
          <cell r="T1576">
            <v>42000</v>
          </cell>
          <cell r="U1576">
            <v>299936</v>
          </cell>
          <cell r="W1576" t="str">
            <v>GQS</v>
          </cell>
          <cell r="Z1576">
            <v>384997</v>
          </cell>
          <cell r="AB1576" t="str">
            <v>MAIN_UNIT</v>
          </cell>
        </row>
        <row r="1577">
          <cell r="S1577">
            <v>8612</v>
          </cell>
          <cell r="T1577">
            <v>60900</v>
          </cell>
          <cell r="U1577">
            <v>569380</v>
          </cell>
          <cell r="W1577" t="str">
            <v>GQS</v>
          </cell>
          <cell r="Z1577">
            <v>638892</v>
          </cell>
          <cell r="AB1577" t="str">
            <v>PANEL</v>
          </cell>
        </row>
        <row r="1578">
          <cell r="S1578">
            <v>43061</v>
          </cell>
          <cell r="T1578">
            <v>21000</v>
          </cell>
          <cell r="U1578">
            <v>0</v>
          </cell>
          <cell r="W1578" t="str">
            <v>GQS</v>
          </cell>
          <cell r="Z1578">
            <v>64061</v>
          </cell>
        </row>
        <row r="1579">
          <cell r="S1579">
            <v>43061</v>
          </cell>
          <cell r="T1579">
            <v>29400</v>
          </cell>
          <cell r="U1579">
            <v>297603</v>
          </cell>
          <cell r="W1579" t="str">
            <v>GQS</v>
          </cell>
          <cell r="Z1579">
            <v>370064</v>
          </cell>
          <cell r="AB1579" t="str">
            <v>MAIN_UNIT</v>
          </cell>
        </row>
        <row r="1580">
          <cell r="S1580">
            <v>43061</v>
          </cell>
          <cell r="T1580">
            <v>31500</v>
          </cell>
          <cell r="U1580">
            <v>0</v>
          </cell>
          <cell r="W1580" t="str">
            <v>GQS</v>
          </cell>
          <cell r="Z1580">
            <v>74561</v>
          </cell>
        </row>
        <row r="1581">
          <cell r="S1581">
            <v>25837</v>
          </cell>
          <cell r="T1581">
            <v>231000</v>
          </cell>
          <cell r="U1581">
            <v>0</v>
          </cell>
          <cell r="W1581" t="str">
            <v>GQS</v>
          </cell>
          <cell r="Z1581">
            <v>256837</v>
          </cell>
        </row>
        <row r="1582">
          <cell r="S1582">
            <v>8612</v>
          </cell>
          <cell r="T1582">
            <v>0</v>
          </cell>
          <cell r="U1582">
            <v>0</v>
          </cell>
          <cell r="W1582" t="str">
            <v>GQS</v>
          </cell>
          <cell r="Z1582">
            <v>8612</v>
          </cell>
        </row>
        <row r="1583">
          <cell r="S1583">
            <v>51673</v>
          </cell>
          <cell r="T1583">
            <v>31500</v>
          </cell>
          <cell r="U1583">
            <v>969798</v>
          </cell>
          <cell r="W1583" t="str">
            <v>GQS</v>
          </cell>
          <cell r="Z1583">
            <v>1052971</v>
          </cell>
          <cell r="AB1583" t="str">
            <v>PANEL</v>
          </cell>
        </row>
        <row r="1584">
          <cell r="S1584">
            <v>34449</v>
          </cell>
          <cell r="T1584">
            <v>10500</v>
          </cell>
          <cell r="U1584">
            <v>969798</v>
          </cell>
          <cell r="W1584" t="str">
            <v>GQS</v>
          </cell>
          <cell r="Z1584">
            <v>1014747</v>
          </cell>
          <cell r="AB1584" t="str">
            <v>PANEL</v>
          </cell>
        </row>
        <row r="1585">
          <cell r="S1585">
            <v>43061</v>
          </cell>
          <cell r="T1585">
            <v>63000</v>
          </cell>
          <cell r="U1585">
            <v>0</v>
          </cell>
          <cell r="W1585" t="str">
            <v>GQS</v>
          </cell>
          <cell r="Z1585">
            <v>106061</v>
          </cell>
        </row>
        <row r="1586">
          <cell r="S1586">
            <v>17224</v>
          </cell>
          <cell r="T1586">
            <v>0</v>
          </cell>
          <cell r="U1586">
            <v>0</v>
          </cell>
          <cell r="W1586" t="str">
            <v>GQS</v>
          </cell>
          <cell r="Z1586">
            <v>17224</v>
          </cell>
        </row>
        <row r="1587">
          <cell r="S1587">
            <v>25837</v>
          </cell>
          <cell r="T1587">
            <v>37800</v>
          </cell>
          <cell r="U1587">
            <v>0</v>
          </cell>
          <cell r="W1587" t="str">
            <v>GQS</v>
          </cell>
          <cell r="Z1587">
            <v>63637</v>
          </cell>
        </row>
        <row r="1588">
          <cell r="S1588">
            <v>17224</v>
          </cell>
          <cell r="T1588">
            <v>0</v>
          </cell>
          <cell r="U1588">
            <v>0</v>
          </cell>
          <cell r="W1588" t="str">
            <v>GQS</v>
          </cell>
          <cell r="Z1588">
            <v>17224</v>
          </cell>
        </row>
        <row r="1589">
          <cell r="S1589">
            <v>43061</v>
          </cell>
          <cell r="T1589">
            <v>111300</v>
          </cell>
          <cell r="U1589">
            <v>0</v>
          </cell>
          <cell r="W1589" t="str">
            <v>GQS</v>
          </cell>
          <cell r="Z1589">
            <v>154361</v>
          </cell>
        </row>
        <row r="1590">
          <cell r="S1590">
            <v>43061</v>
          </cell>
          <cell r="T1590">
            <v>10500</v>
          </cell>
          <cell r="U1590">
            <v>0</v>
          </cell>
          <cell r="W1590" t="str">
            <v>GQS</v>
          </cell>
          <cell r="Z1590">
            <v>53561</v>
          </cell>
        </row>
        <row r="1591">
          <cell r="S1591">
            <v>43061</v>
          </cell>
          <cell r="T1591">
            <v>10500</v>
          </cell>
          <cell r="U1591">
            <v>0</v>
          </cell>
          <cell r="W1591" t="str">
            <v>GQS</v>
          </cell>
          <cell r="Z1591">
            <v>53561</v>
          </cell>
        </row>
        <row r="1592">
          <cell r="S1592">
            <v>43061</v>
          </cell>
          <cell r="T1592">
            <v>14700</v>
          </cell>
          <cell r="U1592">
            <v>0</v>
          </cell>
          <cell r="W1592" t="str">
            <v>GQS</v>
          </cell>
          <cell r="Z1592">
            <v>57761</v>
          </cell>
        </row>
        <row r="1593">
          <cell r="S1593">
            <v>17224</v>
          </cell>
          <cell r="T1593">
            <v>4200</v>
          </cell>
          <cell r="U1593">
            <v>0</v>
          </cell>
          <cell r="W1593" t="str">
            <v>GQS</v>
          </cell>
          <cell r="Z1593">
            <v>21424</v>
          </cell>
        </row>
        <row r="1594">
          <cell r="S1594">
            <v>68898</v>
          </cell>
          <cell r="T1594">
            <v>33600</v>
          </cell>
          <cell r="U1594">
            <v>100000</v>
          </cell>
          <cell r="W1594" t="str">
            <v>GQS</v>
          </cell>
          <cell r="Z1594">
            <v>202498</v>
          </cell>
          <cell r="AB1594" t="str">
            <v>LED_BAR</v>
          </cell>
        </row>
        <row r="1595">
          <cell r="S1595">
            <v>43061</v>
          </cell>
          <cell r="T1595">
            <v>31500</v>
          </cell>
          <cell r="U1595">
            <v>610637</v>
          </cell>
          <cell r="W1595" t="str">
            <v>GQS</v>
          </cell>
          <cell r="Z1595">
            <v>685198</v>
          </cell>
          <cell r="AB1595" t="str">
            <v>MAIN_UNIT</v>
          </cell>
        </row>
        <row r="1596">
          <cell r="S1596">
            <v>43061</v>
          </cell>
          <cell r="T1596">
            <v>25200</v>
          </cell>
          <cell r="U1596">
            <v>0</v>
          </cell>
          <cell r="W1596" t="str">
            <v>GQS</v>
          </cell>
          <cell r="Z1596">
            <v>68261</v>
          </cell>
        </row>
        <row r="1597">
          <cell r="S1597">
            <v>43061</v>
          </cell>
          <cell r="T1597">
            <v>94500</v>
          </cell>
          <cell r="U1597">
            <v>0</v>
          </cell>
          <cell r="W1597" t="str">
            <v>GQS</v>
          </cell>
          <cell r="Z1597">
            <v>137561</v>
          </cell>
        </row>
        <row r="1598">
          <cell r="S1598">
            <v>43061</v>
          </cell>
          <cell r="T1598">
            <v>0</v>
          </cell>
          <cell r="U1598">
            <v>0</v>
          </cell>
          <cell r="W1598" t="str">
            <v>GQS</v>
          </cell>
          <cell r="Z1598">
            <v>43061</v>
          </cell>
        </row>
        <row r="1599">
          <cell r="S1599">
            <v>0</v>
          </cell>
          <cell r="T1599">
            <v>0</v>
          </cell>
          <cell r="U1599">
            <v>0</v>
          </cell>
          <cell r="W1599" t="str">
            <v>GQS</v>
          </cell>
          <cell r="Z1599">
            <v>0</v>
          </cell>
          <cell r="AB1599" t="str">
            <v>PART_KIT</v>
          </cell>
        </row>
        <row r="1600">
          <cell r="S1600">
            <v>86122</v>
          </cell>
          <cell r="T1600">
            <v>0</v>
          </cell>
          <cell r="U1600">
            <v>675137</v>
          </cell>
          <cell r="W1600" t="str">
            <v>GQS</v>
          </cell>
          <cell r="Z1600">
            <v>761259</v>
          </cell>
          <cell r="AB1600" t="str">
            <v>MAIN_UNIT</v>
          </cell>
        </row>
        <row r="1601">
          <cell r="S1601">
            <v>43061</v>
          </cell>
          <cell r="T1601">
            <v>0</v>
          </cell>
          <cell r="U1601">
            <v>550000</v>
          </cell>
          <cell r="W1601" t="str">
            <v>GQS</v>
          </cell>
          <cell r="Z1601">
            <v>593061</v>
          </cell>
          <cell r="AB1601" t="str">
            <v>PANEL</v>
          </cell>
        </row>
        <row r="1602">
          <cell r="S1602">
            <v>43061</v>
          </cell>
          <cell r="T1602">
            <v>0</v>
          </cell>
          <cell r="U1602">
            <v>1373767</v>
          </cell>
          <cell r="W1602" t="str">
            <v>GQS</v>
          </cell>
          <cell r="Z1602">
            <v>1416828</v>
          </cell>
          <cell r="AB1602" t="str">
            <v>PANEL</v>
          </cell>
        </row>
        <row r="1603">
          <cell r="S1603">
            <v>86122</v>
          </cell>
          <cell r="T1603">
            <v>0</v>
          </cell>
          <cell r="U1603">
            <v>35007</v>
          </cell>
          <cell r="W1603" t="str">
            <v>GQS</v>
          </cell>
          <cell r="Z1603">
            <v>121129</v>
          </cell>
          <cell r="AB1603" t="str">
            <v>IC</v>
          </cell>
        </row>
        <row r="1604">
          <cell r="S1604">
            <v>0</v>
          </cell>
          <cell r="T1604">
            <v>0</v>
          </cell>
          <cell r="U1604">
            <v>0</v>
          </cell>
          <cell r="W1604" t="str">
            <v>GQS</v>
          </cell>
          <cell r="Z1604">
            <v>0</v>
          </cell>
          <cell r="AB1604" t="str">
            <v>TAPE</v>
          </cell>
        </row>
        <row r="1605">
          <cell r="S1605">
            <v>43061</v>
          </cell>
          <cell r="T1605">
            <v>0</v>
          </cell>
          <cell r="U1605">
            <v>367459</v>
          </cell>
          <cell r="W1605" t="str">
            <v>GQS</v>
          </cell>
          <cell r="Z1605">
            <v>410520</v>
          </cell>
          <cell r="AB1605" t="str">
            <v>MAIN_UNIT</v>
          </cell>
        </row>
        <row r="1606">
          <cell r="S1606">
            <v>51673</v>
          </cell>
          <cell r="T1606">
            <v>0</v>
          </cell>
          <cell r="U1606">
            <v>490572</v>
          </cell>
          <cell r="W1606" t="str">
            <v>GQS</v>
          </cell>
          <cell r="Z1606">
            <v>542245</v>
          </cell>
          <cell r="AB1606" t="str">
            <v>POWER_UNIT</v>
          </cell>
        </row>
        <row r="1607">
          <cell r="S1607">
            <v>43061</v>
          </cell>
          <cell r="T1607">
            <v>0</v>
          </cell>
          <cell r="U1607">
            <v>100000</v>
          </cell>
          <cell r="W1607" t="str">
            <v>GQS</v>
          </cell>
          <cell r="Z1607">
            <v>143061</v>
          </cell>
          <cell r="AB1607" t="str">
            <v>LED_BAR</v>
          </cell>
        </row>
        <row r="1608">
          <cell r="S1608">
            <v>25837</v>
          </cell>
          <cell r="T1608">
            <v>0</v>
          </cell>
          <cell r="U1608">
            <v>610638</v>
          </cell>
          <cell r="W1608" t="str">
            <v>GQS</v>
          </cell>
          <cell r="Z1608">
            <v>636475</v>
          </cell>
          <cell r="AB1608" t="str">
            <v>MAIN_UNIT</v>
          </cell>
        </row>
        <row r="1609">
          <cell r="S1609">
            <v>43061</v>
          </cell>
          <cell r="T1609">
            <v>0</v>
          </cell>
          <cell r="U1609">
            <v>569380</v>
          </cell>
          <cell r="W1609" t="str">
            <v>GQS</v>
          </cell>
          <cell r="Z1609">
            <v>612441</v>
          </cell>
          <cell r="AB1609" t="str">
            <v>PANEL</v>
          </cell>
        </row>
        <row r="1610">
          <cell r="S1610">
            <v>43061</v>
          </cell>
          <cell r="T1610">
            <v>0</v>
          </cell>
          <cell r="U1610">
            <v>0</v>
          </cell>
          <cell r="W1610" t="str">
            <v>GQS</v>
          </cell>
          <cell r="Z1610">
            <v>43061</v>
          </cell>
        </row>
        <row r="1611">
          <cell r="S1611">
            <v>43061</v>
          </cell>
          <cell r="T1611">
            <v>0</v>
          </cell>
          <cell r="U1611">
            <v>969798</v>
          </cell>
          <cell r="W1611" t="str">
            <v>GQS</v>
          </cell>
          <cell r="Z1611">
            <v>1012859</v>
          </cell>
          <cell r="AB1611" t="str">
            <v>PANEL</v>
          </cell>
        </row>
        <row r="1612">
          <cell r="S1612">
            <v>43061</v>
          </cell>
          <cell r="T1612">
            <v>0</v>
          </cell>
          <cell r="U1612">
            <v>102457</v>
          </cell>
          <cell r="W1612" t="str">
            <v>GQS</v>
          </cell>
          <cell r="Z1612">
            <v>145518</v>
          </cell>
          <cell r="AB1612" t="str">
            <v>REMOTE_CONTROL</v>
          </cell>
        </row>
        <row r="1613">
          <cell r="S1613">
            <v>43061</v>
          </cell>
          <cell r="T1613">
            <v>0</v>
          </cell>
          <cell r="U1613">
            <v>0</v>
          </cell>
          <cell r="W1613" t="str">
            <v>GQS</v>
          </cell>
          <cell r="Z1613">
            <v>43061</v>
          </cell>
        </row>
        <row r="1614">
          <cell r="S1614">
            <v>43061</v>
          </cell>
          <cell r="T1614">
            <v>0</v>
          </cell>
          <cell r="U1614">
            <v>969798</v>
          </cell>
          <cell r="W1614" t="str">
            <v>GQS</v>
          </cell>
          <cell r="Z1614">
            <v>1012859</v>
          </cell>
          <cell r="AB1614" t="str">
            <v>PANEL</v>
          </cell>
        </row>
        <row r="1615">
          <cell r="S1615">
            <v>25837</v>
          </cell>
          <cell r="T1615">
            <v>0</v>
          </cell>
          <cell r="U1615">
            <v>0</v>
          </cell>
          <cell r="W1615" t="str">
            <v>GQS</v>
          </cell>
          <cell r="Z1615">
            <v>25837</v>
          </cell>
        </row>
        <row r="1616">
          <cell r="S1616">
            <v>8612</v>
          </cell>
          <cell r="T1616">
            <v>0</v>
          </cell>
          <cell r="U1616">
            <v>969798</v>
          </cell>
          <cell r="W1616" t="str">
            <v>GQS</v>
          </cell>
          <cell r="Z1616">
            <v>978410</v>
          </cell>
          <cell r="AB1616" t="str">
            <v>PANEL</v>
          </cell>
        </row>
        <row r="1617">
          <cell r="S1617">
            <v>8612</v>
          </cell>
          <cell r="T1617">
            <v>0</v>
          </cell>
          <cell r="U1617">
            <v>12469</v>
          </cell>
          <cell r="W1617" t="str">
            <v>GQS</v>
          </cell>
          <cell r="Z1617">
            <v>21081</v>
          </cell>
          <cell r="AB1617" t="str">
            <v>REMOTE_CONTROL</v>
          </cell>
        </row>
        <row r="1618">
          <cell r="S1618">
            <v>43061</v>
          </cell>
          <cell r="T1618">
            <v>0</v>
          </cell>
          <cell r="U1618">
            <v>569380</v>
          </cell>
          <cell r="W1618" t="str">
            <v>GQS</v>
          </cell>
          <cell r="Z1618">
            <v>612441</v>
          </cell>
          <cell r="AB1618" t="str">
            <v>PANEL</v>
          </cell>
        </row>
        <row r="1619">
          <cell r="S1619">
            <v>25837</v>
          </cell>
          <cell r="T1619">
            <v>0</v>
          </cell>
          <cell r="U1619">
            <v>969798</v>
          </cell>
          <cell r="W1619" t="str">
            <v>GQS</v>
          </cell>
          <cell r="Z1619">
            <v>995635</v>
          </cell>
          <cell r="AB1619" t="str">
            <v>PANEL</v>
          </cell>
        </row>
        <row r="1620">
          <cell r="S1620">
            <v>17224</v>
          </cell>
          <cell r="T1620">
            <v>0</v>
          </cell>
          <cell r="U1620">
            <v>0</v>
          </cell>
          <cell r="W1620" t="str">
            <v>GQS</v>
          </cell>
          <cell r="Z1620">
            <v>17224</v>
          </cell>
        </row>
        <row r="1621">
          <cell r="S1621">
            <v>25837</v>
          </cell>
          <cell r="T1621">
            <v>0</v>
          </cell>
          <cell r="U1621">
            <v>0</v>
          </cell>
          <cell r="W1621" t="str">
            <v>GQS</v>
          </cell>
          <cell r="Z1621">
            <v>25837</v>
          </cell>
        </row>
        <row r="1622">
          <cell r="S1622">
            <v>51673</v>
          </cell>
          <cell r="T1622">
            <v>0</v>
          </cell>
          <cell r="U1622">
            <v>1373768</v>
          </cell>
          <cell r="W1622" t="str">
            <v>GQS</v>
          </cell>
          <cell r="Z1622">
            <v>1425441</v>
          </cell>
          <cell r="AB1622" t="str">
            <v>PANEL</v>
          </cell>
        </row>
        <row r="1623">
          <cell r="S1623">
            <v>43061</v>
          </cell>
          <cell r="T1623">
            <v>0</v>
          </cell>
          <cell r="U1623">
            <v>0</v>
          </cell>
          <cell r="W1623" t="str">
            <v>GQS</v>
          </cell>
          <cell r="Z1623">
            <v>43061</v>
          </cell>
        </row>
        <row r="1624">
          <cell r="S1624">
            <v>51673</v>
          </cell>
          <cell r="T1624">
            <v>16800</v>
          </cell>
          <cell r="U1624">
            <v>409443</v>
          </cell>
          <cell r="W1624" t="str">
            <v>GQS</v>
          </cell>
          <cell r="Z1624">
            <v>477916</v>
          </cell>
          <cell r="AB1624" t="str">
            <v>MAIN_UNIT</v>
          </cell>
        </row>
        <row r="1625">
          <cell r="S1625">
            <v>43061</v>
          </cell>
          <cell r="T1625">
            <v>29400</v>
          </cell>
          <cell r="U1625">
            <v>550000</v>
          </cell>
          <cell r="W1625" t="str">
            <v>GQS</v>
          </cell>
          <cell r="Z1625">
            <v>622461</v>
          </cell>
          <cell r="AB1625" t="str">
            <v>PANEL</v>
          </cell>
        </row>
        <row r="1626">
          <cell r="S1626">
            <v>43061</v>
          </cell>
          <cell r="T1626">
            <v>0</v>
          </cell>
          <cell r="U1626">
            <v>0</v>
          </cell>
          <cell r="W1626" t="str">
            <v>GQS</v>
          </cell>
          <cell r="Z1626">
            <v>43061</v>
          </cell>
        </row>
        <row r="1627">
          <cell r="S1627">
            <v>51673</v>
          </cell>
          <cell r="T1627">
            <v>16800</v>
          </cell>
          <cell r="U1627">
            <v>0</v>
          </cell>
          <cell r="W1627" t="str">
            <v>GQS</v>
          </cell>
          <cell r="Z1627">
            <v>68473</v>
          </cell>
        </row>
        <row r="1628">
          <cell r="S1628">
            <v>25837</v>
          </cell>
          <cell r="T1628">
            <v>14700</v>
          </cell>
          <cell r="U1628">
            <v>0</v>
          </cell>
          <cell r="W1628" t="str">
            <v>GQS</v>
          </cell>
          <cell r="Z1628">
            <v>40537</v>
          </cell>
        </row>
        <row r="1629">
          <cell r="S1629">
            <v>43061</v>
          </cell>
          <cell r="T1629">
            <v>0</v>
          </cell>
          <cell r="U1629">
            <v>0</v>
          </cell>
          <cell r="W1629" t="str">
            <v>GQS</v>
          </cell>
          <cell r="Z1629">
            <v>43061</v>
          </cell>
        </row>
        <row r="1630">
          <cell r="S1630">
            <v>43061</v>
          </cell>
          <cell r="T1630">
            <v>18900</v>
          </cell>
          <cell r="U1630">
            <v>64500</v>
          </cell>
          <cell r="W1630" t="str">
            <v>GQS</v>
          </cell>
          <cell r="Z1630">
            <v>126461</v>
          </cell>
          <cell r="AB1630" t="str">
            <v>PART_KIT</v>
          </cell>
        </row>
        <row r="1631">
          <cell r="S1631">
            <v>8612</v>
          </cell>
          <cell r="T1631">
            <v>0</v>
          </cell>
          <cell r="U1631">
            <v>0</v>
          </cell>
          <cell r="W1631" t="str">
            <v>GQS</v>
          </cell>
          <cell r="Z1631">
            <v>8612</v>
          </cell>
        </row>
        <row r="1632">
          <cell r="S1632">
            <v>25837</v>
          </cell>
          <cell r="T1632">
            <v>46200</v>
          </cell>
          <cell r="U1632">
            <v>107745</v>
          </cell>
          <cell r="W1632" t="str">
            <v>GQS</v>
          </cell>
          <cell r="Z1632">
            <v>179782</v>
          </cell>
          <cell r="AB1632" t="str">
            <v>MAIN_UNIT</v>
          </cell>
        </row>
        <row r="1633">
          <cell r="S1633">
            <v>77510</v>
          </cell>
          <cell r="T1633">
            <v>31500</v>
          </cell>
          <cell r="U1633">
            <v>685046</v>
          </cell>
          <cell r="W1633" t="str">
            <v>GQS</v>
          </cell>
          <cell r="Z1633">
            <v>794056</v>
          </cell>
          <cell r="AB1633" t="str">
            <v>PANEL</v>
          </cell>
        </row>
        <row r="1634">
          <cell r="S1634">
            <v>0</v>
          </cell>
          <cell r="T1634">
            <v>0</v>
          </cell>
          <cell r="U1634">
            <v>0</v>
          </cell>
          <cell r="W1634" t="str">
            <v>GQS</v>
          </cell>
          <cell r="Z1634">
            <v>0</v>
          </cell>
          <cell r="AB1634" t="str">
            <v>TAPE</v>
          </cell>
        </row>
        <row r="1635">
          <cell r="S1635">
            <v>43061</v>
          </cell>
          <cell r="T1635">
            <v>63000</v>
          </cell>
          <cell r="U1635">
            <v>819992</v>
          </cell>
          <cell r="W1635" t="str">
            <v>GQS</v>
          </cell>
          <cell r="Z1635">
            <v>926053</v>
          </cell>
          <cell r="AB1635" t="str">
            <v>PANEL</v>
          </cell>
        </row>
        <row r="1636">
          <cell r="S1636">
            <v>86122</v>
          </cell>
          <cell r="T1636">
            <v>14700</v>
          </cell>
          <cell r="U1636">
            <v>610637</v>
          </cell>
          <cell r="W1636" t="str">
            <v>GQS</v>
          </cell>
          <cell r="Z1636">
            <v>711459</v>
          </cell>
          <cell r="AB1636" t="str">
            <v>MAIN_UNIT</v>
          </cell>
        </row>
        <row r="1637">
          <cell r="S1637">
            <v>43061</v>
          </cell>
          <cell r="T1637">
            <v>4200</v>
          </cell>
          <cell r="U1637">
            <v>0</v>
          </cell>
          <cell r="W1637" t="str">
            <v>GQS</v>
          </cell>
          <cell r="Z1637">
            <v>47261</v>
          </cell>
        </row>
        <row r="1638">
          <cell r="S1638">
            <v>25837</v>
          </cell>
          <cell r="T1638">
            <v>0</v>
          </cell>
          <cell r="U1638">
            <v>0</v>
          </cell>
          <cell r="W1638" t="str">
            <v>GQS</v>
          </cell>
          <cell r="Z1638">
            <v>25837</v>
          </cell>
        </row>
        <row r="1639">
          <cell r="S1639">
            <v>86122</v>
          </cell>
          <cell r="T1639">
            <v>21000</v>
          </cell>
          <cell r="U1639">
            <v>969798</v>
          </cell>
          <cell r="W1639" t="str">
            <v>GQS</v>
          </cell>
          <cell r="Z1639">
            <v>1076920</v>
          </cell>
          <cell r="AB1639" t="str">
            <v>PANEL</v>
          </cell>
        </row>
        <row r="1640">
          <cell r="S1640">
            <v>0</v>
          </cell>
          <cell r="T1640">
            <v>0</v>
          </cell>
          <cell r="U1640">
            <v>0</v>
          </cell>
          <cell r="W1640" t="str">
            <v>GQS</v>
          </cell>
          <cell r="Z1640">
            <v>0</v>
          </cell>
          <cell r="AB1640" t="str">
            <v>TAPE</v>
          </cell>
        </row>
        <row r="1641">
          <cell r="S1641">
            <v>43061</v>
          </cell>
          <cell r="T1641">
            <v>31500</v>
          </cell>
          <cell r="U1641">
            <v>590519</v>
          </cell>
          <cell r="W1641" t="str">
            <v>GQS</v>
          </cell>
          <cell r="Z1641">
            <v>665080</v>
          </cell>
          <cell r="AB1641" t="str">
            <v>PANEL</v>
          </cell>
        </row>
        <row r="1642">
          <cell r="S1642">
            <v>68898</v>
          </cell>
          <cell r="T1642">
            <v>29400</v>
          </cell>
          <cell r="U1642">
            <v>100000</v>
          </cell>
          <cell r="W1642" t="str">
            <v>GQS</v>
          </cell>
          <cell r="Z1642">
            <v>198298</v>
          </cell>
          <cell r="AB1642" t="str">
            <v>LED_BAR</v>
          </cell>
        </row>
        <row r="1643">
          <cell r="S1643">
            <v>43061</v>
          </cell>
          <cell r="T1643">
            <v>29400</v>
          </cell>
          <cell r="U1643">
            <v>522996</v>
          </cell>
          <cell r="W1643" t="str">
            <v>GQS</v>
          </cell>
          <cell r="Z1643">
            <v>595457</v>
          </cell>
          <cell r="AB1643" t="str">
            <v>PANEL</v>
          </cell>
        </row>
        <row r="1644">
          <cell r="S1644">
            <v>43061</v>
          </cell>
          <cell r="T1644">
            <v>21000</v>
          </cell>
          <cell r="U1644">
            <v>972376</v>
          </cell>
          <cell r="W1644" t="str">
            <v>GQS</v>
          </cell>
          <cell r="Z1644">
            <v>1036437</v>
          </cell>
          <cell r="AB1644" t="str">
            <v>MAIN_UNIT</v>
          </cell>
        </row>
        <row r="1645">
          <cell r="S1645">
            <v>43061</v>
          </cell>
          <cell r="T1645">
            <v>8400</v>
          </cell>
          <cell r="U1645">
            <v>0</v>
          </cell>
          <cell r="W1645" t="str">
            <v>GQS</v>
          </cell>
          <cell r="Z1645">
            <v>51461</v>
          </cell>
        </row>
        <row r="1646">
          <cell r="S1646">
            <v>43061</v>
          </cell>
          <cell r="T1646">
            <v>29400</v>
          </cell>
          <cell r="U1646">
            <v>0</v>
          </cell>
          <cell r="W1646" t="str">
            <v>GQS</v>
          </cell>
          <cell r="Z1646">
            <v>72461</v>
          </cell>
        </row>
        <row r="1647">
          <cell r="S1647">
            <v>51673</v>
          </cell>
          <cell r="T1647">
            <v>21000</v>
          </cell>
          <cell r="U1647">
            <v>969798</v>
          </cell>
          <cell r="W1647" t="str">
            <v>GQS</v>
          </cell>
          <cell r="Z1647">
            <v>1042471</v>
          </cell>
          <cell r="AB1647" t="str">
            <v>PANEL</v>
          </cell>
        </row>
        <row r="1648">
          <cell r="S1648">
            <v>68898</v>
          </cell>
          <cell r="T1648">
            <v>10500</v>
          </cell>
          <cell r="U1648">
            <v>0</v>
          </cell>
          <cell r="W1648" t="str">
            <v>GQS</v>
          </cell>
          <cell r="Z1648">
            <v>79398</v>
          </cell>
        </row>
        <row r="1649">
          <cell r="S1649">
            <v>86122</v>
          </cell>
          <cell r="T1649">
            <v>10500</v>
          </cell>
          <cell r="U1649">
            <v>1461724</v>
          </cell>
          <cell r="W1649" t="str">
            <v>GQS</v>
          </cell>
          <cell r="Z1649">
            <v>1558346</v>
          </cell>
          <cell r="AB1649" t="str">
            <v>PANEL</v>
          </cell>
        </row>
        <row r="1650">
          <cell r="S1650">
            <v>51673</v>
          </cell>
          <cell r="T1650">
            <v>35700</v>
          </cell>
          <cell r="U1650">
            <v>105000</v>
          </cell>
          <cell r="W1650" t="str">
            <v>GQS</v>
          </cell>
          <cell r="Z1650">
            <v>192373</v>
          </cell>
          <cell r="AB1650" t="str">
            <v>PART_KIT</v>
          </cell>
        </row>
        <row r="1651">
          <cell r="S1651">
            <v>129183</v>
          </cell>
          <cell r="T1651">
            <v>52500</v>
          </cell>
          <cell r="U1651">
            <v>554475</v>
          </cell>
          <cell r="W1651" t="str">
            <v>GQS</v>
          </cell>
          <cell r="Z1651">
            <v>736158</v>
          </cell>
          <cell r="AB1651" t="str">
            <v>MAIN_UNIT</v>
          </cell>
        </row>
        <row r="1652">
          <cell r="S1652">
            <v>25837</v>
          </cell>
          <cell r="T1652">
            <v>8400</v>
          </cell>
          <cell r="U1652">
            <v>297604</v>
          </cell>
          <cell r="W1652" t="str">
            <v>GQS</v>
          </cell>
          <cell r="Z1652">
            <v>331841</v>
          </cell>
          <cell r="AB1652" t="str">
            <v>MAIN_UNIT</v>
          </cell>
        </row>
        <row r="1653">
          <cell r="S1653">
            <v>43061</v>
          </cell>
          <cell r="T1653">
            <v>21000</v>
          </cell>
          <cell r="U1653">
            <v>0</v>
          </cell>
          <cell r="W1653" t="str">
            <v>GQS</v>
          </cell>
          <cell r="Z1653">
            <v>64061</v>
          </cell>
        </row>
        <row r="1654">
          <cell r="S1654">
            <v>43061</v>
          </cell>
          <cell r="T1654">
            <v>42000</v>
          </cell>
          <cell r="U1654">
            <v>0</v>
          </cell>
          <cell r="W1654" t="str">
            <v>GQS</v>
          </cell>
          <cell r="Z1654">
            <v>85061</v>
          </cell>
        </row>
        <row r="1655">
          <cell r="S1655">
            <v>77510</v>
          </cell>
          <cell r="T1655">
            <v>35700</v>
          </cell>
          <cell r="U1655">
            <v>0</v>
          </cell>
          <cell r="W1655" t="str">
            <v>GQS</v>
          </cell>
          <cell r="Z1655">
            <v>113210</v>
          </cell>
        </row>
        <row r="1656">
          <cell r="S1656">
            <v>43061</v>
          </cell>
          <cell r="T1656">
            <v>16800</v>
          </cell>
          <cell r="U1656">
            <v>0</v>
          </cell>
          <cell r="W1656" t="str">
            <v>GQS</v>
          </cell>
          <cell r="Z1656">
            <v>59861</v>
          </cell>
        </row>
        <row r="1657">
          <cell r="S1657">
            <v>17224</v>
          </cell>
          <cell r="T1657">
            <v>10500</v>
          </cell>
          <cell r="U1657">
            <v>0</v>
          </cell>
          <cell r="W1657" t="str">
            <v>GQS</v>
          </cell>
          <cell r="Z1657">
            <v>27724</v>
          </cell>
        </row>
        <row r="1658">
          <cell r="S1658">
            <v>43061</v>
          </cell>
          <cell r="T1658">
            <v>21000</v>
          </cell>
          <cell r="U1658">
            <v>969798</v>
          </cell>
          <cell r="W1658" t="str">
            <v>GQS</v>
          </cell>
          <cell r="Z1658">
            <v>1033859</v>
          </cell>
          <cell r="AB1658" t="str">
            <v>PANEL</v>
          </cell>
        </row>
        <row r="1659">
          <cell r="S1659">
            <v>25837</v>
          </cell>
          <cell r="T1659">
            <v>2100</v>
          </cell>
          <cell r="U1659">
            <v>0</v>
          </cell>
          <cell r="W1659" t="str">
            <v>GQS</v>
          </cell>
          <cell r="Z1659">
            <v>27937</v>
          </cell>
        </row>
        <row r="1660">
          <cell r="S1660">
            <v>25837</v>
          </cell>
          <cell r="T1660">
            <v>21000</v>
          </cell>
          <cell r="U1660">
            <v>0</v>
          </cell>
          <cell r="W1660" t="str">
            <v>GQS</v>
          </cell>
          <cell r="Z1660">
            <v>46837</v>
          </cell>
        </row>
        <row r="1661">
          <cell r="S1661">
            <v>43061</v>
          </cell>
          <cell r="T1661">
            <v>21000</v>
          </cell>
          <cell r="U1661">
            <v>0</v>
          </cell>
          <cell r="W1661" t="str">
            <v>GQS</v>
          </cell>
          <cell r="Z1661">
            <v>64061</v>
          </cell>
        </row>
        <row r="1662">
          <cell r="S1662">
            <v>8612</v>
          </cell>
          <cell r="T1662">
            <v>0</v>
          </cell>
          <cell r="U1662">
            <v>0</v>
          </cell>
          <cell r="W1662" t="str">
            <v>GQS</v>
          </cell>
          <cell r="Z1662">
            <v>8612</v>
          </cell>
        </row>
        <row r="1663">
          <cell r="S1663">
            <v>25837</v>
          </cell>
          <cell r="T1663">
            <v>37800</v>
          </cell>
          <cell r="U1663">
            <v>0</v>
          </cell>
          <cell r="W1663" t="str">
            <v>GQS</v>
          </cell>
          <cell r="Z1663">
            <v>63637</v>
          </cell>
        </row>
        <row r="1664">
          <cell r="S1664">
            <v>17224</v>
          </cell>
          <cell r="T1664">
            <v>0</v>
          </cell>
          <cell r="U1664">
            <v>0</v>
          </cell>
          <cell r="W1664" t="str">
            <v>GQS</v>
          </cell>
          <cell r="Z1664">
            <v>17224</v>
          </cell>
        </row>
        <row r="1665">
          <cell r="S1665">
            <v>25837</v>
          </cell>
          <cell r="T1665">
            <v>63000</v>
          </cell>
          <cell r="U1665">
            <v>0</v>
          </cell>
          <cell r="W1665" t="str">
            <v>GQS</v>
          </cell>
          <cell r="Z1665">
            <v>88837</v>
          </cell>
        </row>
        <row r="1666">
          <cell r="S1666">
            <v>34449</v>
          </cell>
          <cell r="T1666">
            <v>10500</v>
          </cell>
          <cell r="U1666">
            <v>0</v>
          </cell>
          <cell r="W1666" t="str">
            <v>GQS</v>
          </cell>
          <cell r="Z1666">
            <v>44949</v>
          </cell>
        </row>
        <row r="1667">
          <cell r="S1667">
            <v>51673</v>
          </cell>
          <cell r="T1667">
            <v>105000</v>
          </cell>
          <cell r="U1667">
            <v>0</v>
          </cell>
          <cell r="W1667" t="str">
            <v>GQS</v>
          </cell>
          <cell r="Z1667">
            <v>156673</v>
          </cell>
        </row>
        <row r="1668">
          <cell r="S1668">
            <v>43061</v>
          </cell>
          <cell r="T1668">
            <v>21000</v>
          </cell>
          <cell r="U1668">
            <v>0</v>
          </cell>
          <cell r="W1668" t="str">
            <v>GQS</v>
          </cell>
          <cell r="Z1668">
            <v>64061</v>
          </cell>
        </row>
        <row r="1669">
          <cell r="S1669">
            <v>25837</v>
          </cell>
          <cell r="T1669">
            <v>63000</v>
          </cell>
          <cell r="U1669">
            <v>0</v>
          </cell>
          <cell r="W1669" t="str">
            <v>GQS</v>
          </cell>
          <cell r="Z1669">
            <v>88837</v>
          </cell>
        </row>
        <row r="1670">
          <cell r="S1670">
            <v>34449</v>
          </cell>
          <cell r="T1670">
            <v>0</v>
          </cell>
          <cell r="U1670">
            <v>0</v>
          </cell>
          <cell r="W1670" t="str">
            <v>GQS</v>
          </cell>
          <cell r="Z1670">
            <v>34449</v>
          </cell>
        </row>
        <row r="1671">
          <cell r="S1671">
            <v>25837</v>
          </cell>
          <cell r="T1671">
            <v>0</v>
          </cell>
          <cell r="U1671">
            <v>0</v>
          </cell>
          <cell r="W1671" t="str">
            <v>GQS</v>
          </cell>
          <cell r="Z1671">
            <v>25837</v>
          </cell>
        </row>
        <row r="1672">
          <cell r="S1672">
            <v>43061</v>
          </cell>
          <cell r="T1672">
            <v>0</v>
          </cell>
          <cell r="U1672">
            <v>819992</v>
          </cell>
          <cell r="W1672" t="str">
            <v>GQS</v>
          </cell>
          <cell r="Z1672">
            <v>863053</v>
          </cell>
          <cell r="AB1672" t="str">
            <v>PANEL</v>
          </cell>
        </row>
        <row r="1673">
          <cell r="S1673">
            <v>86122</v>
          </cell>
          <cell r="T1673">
            <v>0</v>
          </cell>
          <cell r="U1673">
            <v>612246</v>
          </cell>
          <cell r="W1673" t="str">
            <v>GQS</v>
          </cell>
          <cell r="Z1673">
            <v>698368</v>
          </cell>
          <cell r="AB1673" t="str">
            <v>MAIN_UNIT</v>
          </cell>
        </row>
        <row r="1674">
          <cell r="S1674">
            <v>43061</v>
          </cell>
          <cell r="T1674">
            <v>0</v>
          </cell>
          <cell r="U1674">
            <v>107744</v>
          </cell>
          <cell r="W1674" t="str">
            <v>GQS</v>
          </cell>
          <cell r="Z1674">
            <v>150805</v>
          </cell>
          <cell r="AB1674" t="str">
            <v>MAIN_UNIT</v>
          </cell>
        </row>
        <row r="1675">
          <cell r="S1675">
            <v>34449</v>
          </cell>
          <cell r="T1675">
            <v>0</v>
          </cell>
          <cell r="U1675">
            <v>691906</v>
          </cell>
          <cell r="W1675" t="str">
            <v>GQS</v>
          </cell>
          <cell r="Z1675">
            <v>726355</v>
          </cell>
          <cell r="AB1675" t="str">
            <v>MAIN_UNIT</v>
          </cell>
        </row>
        <row r="1676">
          <cell r="S1676">
            <v>25837</v>
          </cell>
          <cell r="T1676">
            <v>0</v>
          </cell>
          <cell r="U1676">
            <v>569380</v>
          </cell>
          <cell r="W1676" t="str">
            <v>GQS</v>
          </cell>
          <cell r="Z1676">
            <v>595217</v>
          </cell>
          <cell r="AB1676" t="str">
            <v>PANEL</v>
          </cell>
        </row>
        <row r="1677">
          <cell r="S1677">
            <v>86122</v>
          </cell>
          <cell r="T1677">
            <v>0</v>
          </cell>
          <cell r="U1677">
            <v>0</v>
          </cell>
          <cell r="W1677" t="str">
            <v>GQS</v>
          </cell>
          <cell r="Z1677">
            <v>86122</v>
          </cell>
        </row>
        <row r="1678">
          <cell r="S1678">
            <v>25837</v>
          </cell>
          <cell r="T1678">
            <v>0</v>
          </cell>
          <cell r="U1678">
            <v>0</v>
          </cell>
          <cell r="W1678" t="str">
            <v>GQS</v>
          </cell>
          <cell r="Z1678">
            <v>25837</v>
          </cell>
        </row>
        <row r="1679">
          <cell r="S1679">
            <v>43061</v>
          </cell>
          <cell r="T1679">
            <v>0</v>
          </cell>
          <cell r="U1679">
            <v>120302</v>
          </cell>
          <cell r="W1679" t="str">
            <v>GQS</v>
          </cell>
          <cell r="Z1679">
            <v>163363</v>
          </cell>
          <cell r="AB1679" t="str">
            <v>MAIN_UNIT</v>
          </cell>
        </row>
        <row r="1680">
          <cell r="S1680">
            <v>0</v>
          </cell>
          <cell r="T1680">
            <v>0</v>
          </cell>
          <cell r="U1680">
            <v>0</v>
          </cell>
          <cell r="W1680" t="str">
            <v>GQS</v>
          </cell>
          <cell r="Z1680">
            <v>0</v>
          </cell>
          <cell r="AB1680" t="str">
            <v>TAPE</v>
          </cell>
        </row>
        <row r="1681">
          <cell r="S1681">
            <v>43061</v>
          </cell>
          <cell r="T1681">
            <v>0</v>
          </cell>
          <cell r="U1681">
            <v>617523</v>
          </cell>
          <cell r="W1681" t="str">
            <v>GQS</v>
          </cell>
          <cell r="Z1681">
            <v>660584</v>
          </cell>
          <cell r="AB1681" t="str">
            <v>PANEL</v>
          </cell>
        </row>
        <row r="1682">
          <cell r="S1682">
            <v>0</v>
          </cell>
          <cell r="T1682">
            <v>0</v>
          </cell>
          <cell r="U1682">
            <v>0</v>
          </cell>
          <cell r="W1682" t="str">
            <v>GQS</v>
          </cell>
          <cell r="Z1682">
            <v>0</v>
          </cell>
          <cell r="AB1682" t="str">
            <v>TAPE</v>
          </cell>
        </row>
        <row r="1683">
          <cell r="S1683">
            <v>43061</v>
          </cell>
          <cell r="T1683">
            <v>0</v>
          </cell>
          <cell r="U1683">
            <v>1037321</v>
          </cell>
          <cell r="W1683" t="str">
            <v>GQS</v>
          </cell>
          <cell r="Z1683">
            <v>1080382</v>
          </cell>
          <cell r="AB1683" t="str">
            <v>PANEL</v>
          </cell>
        </row>
        <row r="1684">
          <cell r="S1684">
            <v>25837</v>
          </cell>
          <cell r="T1684">
            <v>0</v>
          </cell>
          <cell r="U1684">
            <v>80829</v>
          </cell>
          <cell r="W1684" t="str">
            <v>GQS</v>
          </cell>
          <cell r="Z1684">
            <v>106666</v>
          </cell>
          <cell r="AB1684" t="str">
            <v>POWER_UNIT</v>
          </cell>
        </row>
        <row r="1685">
          <cell r="S1685">
            <v>0</v>
          </cell>
          <cell r="T1685">
            <v>0</v>
          </cell>
          <cell r="U1685">
            <v>0</v>
          </cell>
          <cell r="W1685" t="str">
            <v>GQS</v>
          </cell>
          <cell r="Z1685">
            <v>0</v>
          </cell>
          <cell r="AB1685" t="str">
            <v>LED_BAR</v>
          </cell>
        </row>
        <row r="1686">
          <cell r="S1686">
            <v>86122</v>
          </cell>
          <cell r="T1686">
            <v>0</v>
          </cell>
          <cell r="U1686">
            <v>670638</v>
          </cell>
          <cell r="W1686" t="str">
            <v>GQS</v>
          </cell>
          <cell r="Z1686">
            <v>756760</v>
          </cell>
          <cell r="AB1686" t="str">
            <v>MAIN_UNIT</v>
          </cell>
        </row>
        <row r="1687">
          <cell r="S1687">
            <v>43061</v>
          </cell>
          <cell r="T1687">
            <v>0</v>
          </cell>
          <cell r="U1687">
            <v>1096237</v>
          </cell>
          <cell r="W1687" t="str">
            <v>GQS</v>
          </cell>
          <cell r="Z1687">
            <v>1139298</v>
          </cell>
          <cell r="AB1687" t="str">
            <v>POWER_UNIT</v>
          </cell>
        </row>
        <row r="1688">
          <cell r="S1688">
            <v>0</v>
          </cell>
          <cell r="T1688">
            <v>0</v>
          </cell>
          <cell r="U1688">
            <v>0</v>
          </cell>
          <cell r="W1688" t="str">
            <v>GQS</v>
          </cell>
          <cell r="Z1688">
            <v>0</v>
          </cell>
          <cell r="AB1688" t="str">
            <v>SPEAKER</v>
          </cell>
        </row>
        <row r="1689">
          <cell r="S1689">
            <v>43061</v>
          </cell>
          <cell r="T1689">
            <v>0</v>
          </cell>
          <cell r="U1689">
            <v>0</v>
          </cell>
          <cell r="W1689" t="str">
            <v>GQS</v>
          </cell>
          <cell r="Z1689">
            <v>43061</v>
          </cell>
        </row>
        <row r="1690">
          <cell r="S1690">
            <v>8612</v>
          </cell>
          <cell r="T1690">
            <v>0</v>
          </cell>
          <cell r="U1690">
            <v>0</v>
          </cell>
          <cell r="W1690" t="str">
            <v>GQS</v>
          </cell>
          <cell r="Z1690">
            <v>8612</v>
          </cell>
        </row>
        <row r="1691">
          <cell r="S1691">
            <v>43061</v>
          </cell>
          <cell r="T1691">
            <v>0</v>
          </cell>
          <cell r="U1691">
            <v>0</v>
          </cell>
          <cell r="W1691" t="str">
            <v>GQS</v>
          </cell>
          <cell r="Z1691">
            <v>43061</v>
          </cell>
        </row>
        <row r="1692">
          <cell r="S1692">
            <v>43061</v>
          </cell>
          <cell r="T1692">
            <v>0</v>
          </cell>
          <cell r="U1692">
            <v>55000</v>
          </cell>
          <cell r="W1692" t="str">
            <v>GQS</v>
          </cell>
          <cell r="Z1692">
            <v>98061</v>
          </cell>
          <cell r="AB1692" t="str">
            <v>PART_KIT</v>
          </cell>
        </row>
        <row r="1693">
          <cell r="S1693">
            <v>8612</v>
          </cell>
          <cell r="T1693">
            <v>0</v>
          </cell>
          <cell r="U1693">
            <v>0</v>
          </cell>
          <cell r="W1693" t="str">
            <v>GQS</v>
          </cell>
          <cell r="Z1693">
            <v>8612</v>
          </cell>
        </row>
        <row r="1694">
          <cell r="S1694">
            <v>43061</v>
          </cell>
          <cell r="T1694">
            <v>0</v>
          </cell>
          <cell r="U1694">
            <v>0</v>
          </cell>
          <cell r="W1694" t="str">
            <v>GQS</v>
          </cell>
          <cell r="Z1694">
            <v>43061</v>
          </cell>
        </row>
        <row r="1695">
          <cell r="S1695">
            <v>25837</v>
          </cell>
          <cell r="T1695">
            <v>0</v>
          </cell>
          <cell r="U1695">
            <v>0</v>
          </cell>
          <cell r="W1695" t="str">
            <v>GQS</v>
          </cell>
          <cell r="Z1695">
            <v>25837</v>
          </cell>
        </row>
        <row r="1696">
          <cell r="S1696">
            <v>43061</v>
          </cell>
          <cell r="T1696">
            <v>0</v>
          </cell>
          <cell r="U1696">
            <v>969798</v>
          </cell>
          <cell r="W1696" t="str">
            <v>GQS</v>
          </cell>
          <cell r="Z1696">
            <v>1012859</v>
          </cell>
          <cell r="AB1696" t="str">
            <v>PANEL</v>
          </cell>
        </row>
        <row r="1697">
          <cell r="S1697">
            <v>8612</v>
          </cell>
          <cell r="T1697">
            <v>0</v>
          </cell>
          <cell r="U1697">
            <v>0</v>
          </cell>
          <cell r="W1697" t="str">
            <v>GQS</v>
          </cell>
          <cell r="Z1697">
            <v>8612</v>
          </cell>
        </row>
        <row r="1698">
          <cell r="S1698">
            <v>25837</v>
          </cell>
          <cell r="T1698">
            <v>0</v>
          </cell>
          <cell r="U1698">
            <v>55000</v>
          </cell>
          <cell r="W1698" t="str">
            <v>GQS</v>
          </cell>
          <cell r="Z1698">
            <v>80837</v>
          </cell>
          <cell r="AB1698" t="str">
            <v>PART_KIT</v>
          </cell>
        </row>
        <row r="1699">
          <cell r="S1699">
            <v>43061</v>
          </cell>
          <cell r="T1699">
            <v>0</v>
          </cell>
          <cell r="U1699">
            <v>569380</v>
          </cell>
          <cell r="W1699" t="str">
            <v>GQS</v>
          </cell>
          <cell r="Z1699">
            <v>612441</v>
          </cell>
          <cell r="AB1699" t="str">
            <v>PANEL</v>
          </cell>
        </row>
        <row r="1700">
          <cell r="S1700">
            <v>43061</v>
          </cell>
          <cell r="T1700">
            <v>0</v>
          </cell>
          <cell r="U1700">
            <v>637044</v>
          </cell>
          <cell r="W1700" t="str">
            <v>GQS</v>
          </cell>
          <cell r="Z1700">
            <v>680105</v>
          </cell>
          <cell r="AB1700" t="str">
            <v>PANEL</v>
          </cell>
        </row>
        <row r="1701">
          <cell r="S1701">
            <v>0</v>
          </cell>
          <cell r="T1701">
            <v>0</v>
          </cell>
          <cell r="U1701">
            <v>0</v>
          </cell>
          <cell r="W1701" t="str">
            <v>GQS</v>
          </cell>
          <cell r="Z1701">
            <v>0</v>
          </cell>
          <cell r="AB1701" t="str">
            <v>REMOTE_CONTROL</v>
          </cell>
        </row>
        <row r="1702">
          <cell r="S1702">
            <v>34449</v>
          </cell>
          <cell r="T1702">
            <v>0</v>
          </cell>
          <cell r="U1702">
            <v>969798</v>
          </cell>
          <cell r="W1702" t="str">
            <v>GQS</v>
          </cell>
          <cell r="Z1702">
            <v>1004247</v>
          </cell>
          <cell r="AB1702" t="str">
            <v>PANEL</v>
          </cell>
        </row>
        <row r="1703">
          <cell r="S1703">
            <v>25837</v>
          </cell>
          <cell r="T1703">
            <v>0</v>
          </cell>
          <cell r="U1703">
            <v>0</v>
          </cell>
          <cell r="W1703" t="str">
            <v>GQS</v>
          </cell>
          <cell r="Z1703">
            <v>25837</v>
          </cell>
        </row>
        <row r="1704">
          <cell r="S1704">
            <v>43061</v>
          </cell>
          <cell r="T1704">
            <v>0</v>
          </cell>
          <cell r="U1704">
            <v>0</v>
          </cell>
          <cell r="W1704" t="str">
            <v>GQS</v>
          </cell>
          <cell r="Z1704">
            <v>43061</v>
          </cell>
        </row>
        <row r="1705">
          <cell r="S1705">
            <v>43061</v>
          </cell>
          <cell r="T1705">
            <v>0</v>
          </cell>
          <cell r="U1705">
            <v>35007</v>
          </cell>
          <cell r="W1705" t="str">
            <v>GQS</v>
          </cell>
          <cell r="Z1705">
            <v>78068</v>
          </cell>
          <cell r="AB1705" t="str">
            <v>IC</v>
          </cell>
        </row>
        <row r="1706">
          <cell r="S1706">
            <v>43061</v>
          </cell>
          <cell r="T1706">
            <v>0</v>
          </cell>
          <cell r="U1706">
            <v>969798</v>
          </cell>
          <cell r="W1706" t="str">
            <v>GQS</v>
          </cell>
          <cell r="Z1706">
            <v>1012859</v>
          </cell>
          <cell r="AB1706" t="str">
            <v>PANEL</v>
          </cell>
        </row>
        <row r="1707">
          <cell r="S1707">
            <v>34449</v>
          </cell>
          <cell r="T1707">
            <v>0</v>
          </cell>
          <cell r="U1707">
            <v>187062</v>
          </cell>
          <cell r="W1707" t="str">
            <v>GQS</v>
          </cell>
          <cell r="Z1707">
            <v>221511</v>
          </cell>
          <cell r="AB1707" t="str">
            <v>MAIN_UNIT</v>
          </cell>
        </row>
        <row r="1708">
          <cell r="S1708">
            <v>43061</v>
          </cell>
          <cell r="T1708">
            <v>0</v>
          </cell>
          <cell r="U1708">
            <v>0</v>
          </cell>
          <cell r="W1708" t="str">
            <v>GQS</v>
          </cell>
          <cell r="Z1708">
            <v>43061</v>
          </cell>
        </row>
        <row r="1709">
          <cell r="S1709">
            <v>43061</v>
          </cell>
          <cell r="T1709">
            <v>0</v>
          </cell>
          <cell r="U1709">
            <v>0</v>
          </cell>
          <cell r="W1709" t="str">
            <v>GQS</v>
          </cell>
          <cell r="Z1709">
            <v>43061</v>
          </cell>
        </row>
        <row r="1710">
          <cell r="S1710">
            <v>17224</v>
          </cell>
          <cell r="T1710">
            <v>0</v>
          </cell>
          <cell r="U1710">
            <v>0</v>
          </cell>
          <cell r="W1710" t="str">
            <v>GQS</v>
          </cell>
          <cell r="Z1710">
            <v>17224</v>
          </cell>
        </row>
        <row r="1711">
          <cell r="S1711">
            <v>43061</v>
          </cell>
          <cell r="T1711">
            <v>0</v>
          </cell>
          <cell r="U1711">
            <v>67523</v>
          </cell>
          <cell r="W1711" t="str">
            <v>GQS</v>
          </cell>
          <cell r="Z1711">
            <v>110584</v>
          </cell>
          <cell r="AB1711" t="str">
            <v>TAPE</v>
          </cell>
        </row>
        <row r="1712">
          <cell r="S1712">
            <v>43061</v>
          </cell>
          <cell r="T1712">
            <v>0</v>
          </cell>
          <cell r="U1712">
            <v>0</v>
          </cell>
          <cell r="W1712" t="str">
            <v>GQS</v>
          </cell>
          <cell r="Z1712">
            <v>43061</v>
          </cell>
        </row>
        <row r="1713">
          <cell r="S1713">
            <v>17224</v>
          </cell>
          <cell r="T1713">
            <v>16800</v>
          </cell>
          <cell r="U1713">
            <v>0</v>
          </cell>
          <cell r="W1713" t="str">
            <v>GQS</v>
          </cell>
          <cell r="Z1713">
            <v>34024</v>
          </cell>
        </row>
        <row r="1714">
          <cell r="S1714">
            <v>86122</v>
          </cell>
          <cell r="T1714">
            <v>31500</v>
          </cell>
          <cell r="U1714">
            <v>570098</v>
          </cell>
          <cell r="W1714" t="str">
            <v>GQS</v>
          </cell>
          <cell r="Z1714">
            <v>687720</v>
          </cell>
          <cell r="AB1714" t="str">
            <v>MAIN_UNIT</v>
          </cell>
        </row>
        <row r="1715">
          <cell r="S1715">
            <v>17224</v>
          </cell>
          <cell r="T1715">
            <v>21000</v>
          </cell>
          <cell r="U1715">
            <v>554476</v>
          </cell>
          <cell r="W1715" t="str">
            <v>GQS</v>
          </cell>
          <cell r="Z1715">
            <v>592700</v>
          </cell>
          <cell r="AB1715" t="str">
            <v>MAIN_UNIT</v>
          </cell>
        </row>
        <row r="1716">
          <cell r="S1716">
            <v>17224</v>
          </cell>
          <cell r="T1716">
            <v>14700</v>
          </cell>
          <cell r="U1716">
            <v>204082</v>
          </cell>
          <cell r="W1716" t="str">
            <v>GQS</v>
          </cell>
          <cell r="Z1716">
            <v>236006</v>
          </cell>
          <cell r="AB1716" t="str">
            <v>MAIN_UNIT</v>
          </cell>
        </row>
        <row r="1717">
          <cell r="S1717">
            <v>34449</v>
          </cell>
          <cell r="T1717">
            <v>21000</v>
          </cell>
          <cell r="U1717">
            <v>0</v>
          </cell>
          <cell r="W1717" t="str">
            <v>GQS</v>
          </cell>
          <cell r="Z1717">
            <v>55449</v>
          </cell>
        </row>
        <row r="1718">
          <cell r="S1718">
            <v>17224</v>
          </cell>
          <cell r="T1718">
            <v>6300</v>
          </cell>
          <cell r="U1718">
            <v>0</v>
          </cell>
          <cell r="W1718" t="str">
            <v>GQS</v>
          </cell>
          <cell r="Z1718">
            <v>23524</v>
          </cell>
        </row>
        <row r="1719">
          <cell r="S1719">
            <v>25837</v>
          </cell>
          <cell r="T1719">
            <v>21000</v>
          </cell>
          <cell r="U1719">
            <v>0</v>
          </cell>
          <cell r="W1719" t="str">
            <v>GQS</v>
          </cell>
          <cell r="Z1719">
            <v>46837</v>
          </cell>
        </row>
        <row r="1720">
          <cell r="S1720">
            <v>60285</v>
          </cell>
          <cell r="T1720">
            <v>23100</v>
          </cell>
          <cell r="U1720">
            <v>666363</v>
          </cell>
          <cell r="W1720" t="str">
            <v>GQS</v>
          </cell>
          <cell r="Z1720">
            <v>749748</v>
          </cell>
          <cell r="AB1720" t="str">
            <v>PANEL</v>
          </cell>
        </row>
        <row r="1721">
          <cell r="S1721">
            <v>0</v>
          </cell>
          <cell r="T1721">
            <v>0</v>
          </cell>
          <cell r="U1721">
            <v>0</v>
          </cell>
          <cell r="W1721" t="str">
            <v>GQS</v>
          </cell>
          <cell r="Z1721">
            <v>0</v>
          </cell>
          <cell r="AB1721" t="str">
            <v>TAPE</v>
          </cell>
        </row>
        <row r="1722">
          <cell r="S1722">
            <v>25837</v>
          </cell>
          <cell r="T1722">
            <v>0</v>
          </cell>
          <cell r="U1722">
            <v>0</v>
          </cell>
          <cell r="W1722" t="str">
            <v>GQS</v>
          </cell>
          <cell r="Z1722">
            <v>25837</v>
          </cell>
        </row>
        <row r="1723">
          <cell r="S1723">
            <v>25837</v>
          </cell>
          <cell r="T1723">
            <v>21000</v>
          </cell>
          <cell r="U1723">
            <v>0</v>
          </cell>
          <cell r="W1723" t="str">
            <v>GQS</v>
          </cell>
          <cell r="Z1723">
            <v>46837</v>
          </cell>
        </row>
        <row r="1724">
          <cell r="S1724">
            <v>43061</v>
          </cell>
          <cell r="T1724">
            <v>16800</v>
          </cell>
          <cell r="U1724">
            <v>614800</v>
          </cell>
          <cell r="W1724" t="str">
            <v>GQS</v>
          </cell>
          <cell r="Z1724">
            <v>674661</v>
          </cell>
          <cell r="AB1724" t="str">
            <v>MAIN_UNIT</v>
          </cell>
        </row>
        <row r="1725">
          <cell r="S1725">
            <v>17224</v>
          </cell>
          <cell r="T1725">
            <v>4200</v>
          </cell>
          <cell r="U1725">
            <v>0</v>
          </cell>
          <cell r="W1725" t="str">
            <v>GQS</v>
          </cell>
          <cell r="Z1725">
            <v>21424</v>
          </cell>
        </row>
        <row r="1726">
          <cell r="S1726">
            <v>8612</v>
          </cell>
          <cell r="T1726">
            <v>0</v>
          </cell>
          <cell r="U1726">
            <v>0</v>
          </cell>
          <cell r="W1726" t="str">
            <v>GQS</v>
          </cell>
          <cell r="Z1726">
            <v>8612</v>
          </cell>
        </row>
        <row r="1727">
          <cell r="S1727">
            <v>34449</v>
          </cell>
          <cell r="T1727">
            <v>25200</v>
          </cell>
          <cell r="U1727">
            <v>0</v>
          </cell>
          <cell r="W1727" t="str">
            <v>GQS</v>
          </cell>
          <cell r="Z1727">
            <v>59649</v>
          </cell>
        </row>
        <row r="1728">
          <cell r="S1728">
            <v>25837</v>
          </cell>
          <cell r="T1728">
            <v>25200</v>
          </cell>
          <cell r="U1728">
            <v>610637</v>
          </cell>
          <cell r="W1728" t="str">
            <v>GQS</v>
          </cell>
          <cell r="Z1728">
            <v>661674</v>
          </cell>
          <cell r="AB1728" t="str">
            <v>MAIN_UNIT</v>
          </cell>
        </row>
        <row r="1729">
          <cell r="S1729">
            <v>43061</v>
          </cell>
          <cell r="T1729">
            <v>42000</v>
          </cell>
          <cell r="U1729">
            <v>819992</v>
          </cell>
          <cell r="W1729" t="str">
            <v>GQS</v>
          </cell>
          <cell r="Z1729">
            <v>905053</v>
          </cell>
          <cell r="AB1729" t="str">
            <v>PANEL</v>
          </cell>
        </row>
        <row r="1730">
          <cell r="S1730">
            <v>8612</v>
          </cell>
          <cell r="T1730">
            <v>84000</v>
          </cell>
          <cell r="U1730">
            <v>0</v>
          </cell>
          <cell r="W1730" t="str">
            <v>GQS</v>
          </cell>
          <cell r="Z1730">
            <v>92612</v>
          </cell>
        </row>
        <row r="1731">
          <cell r="S1731">
            <v>43061</v>
          </cell>
          <cell r="T1731">
            <v>0</v>
          </cell>
          <cell r="U1731">
            <v>0</v>
          </cell>
          <cell r="W1731" t="str">
            <v>GQS</v>
          </cell>
          <cell r="Z1731">
            <v>43061</v>
          </cell>
        </row>
        <row r="1732">
          <cell r="S1732">
            <v>43061</v>
          </cell>
          <cell r="T1732">
            <v>12600</v>
          </cell>
          <cell r="U1732">
            <v>0</v>
          </cell>
          <cell r="W1732" t="str">
            <v>GQS</v>
          </cell>
          <cell r="Z1732">
            <v>55661</v>
          </cell>
        </row>
        <row r="1733">
          <cell r="S1733">
            <v>43061</v>
          </cell>
          <cell r="T1733">
            <v>21000</v>
          </cell>
          <cell r="U1733">
            <v>306123</v>
          </cell>
          <cell r="W1733" t="str">
            <v>GQS</v>
          </cell>
          <cell r="Z1733">
            <v>370184</v>
          </cell>
          <cell r="AB1733" t="str">
            <v>MAIN_UNIT</v>
          </cell>
        </row>
        <row r="1734">
          <cell r="S1734">
            <v>34449</v>
          </cell>
          <cell r="T1734">
            <v>37800</v>
          </cell>
          <cell r="U1734">
            <v>617523</v>
          </cell>
          <cell r="W1734" t="str">
            <v>GQS</v>
          </cell>
          <cell r="Z1734">
            <v>689772</v>
          </cell>
          <cell r="AB1734" t="str">
            <v>PANEL</v>
          </cell>
        </row>
        <row r="1735">
          <cell r="S1735">
            <v>0</v>
          </cell>
          <cell r="T1735">
            <v>0</v>
          </cell>
          <cell r="U1735">
            <v>0</v>
          </cell>
          <cell r="W1735" t="str">
            <v>GQS</v>
          </cell>
          <cell r="Z1735">
            <v>0</v>
          </cell>
          <cell r="AB1735" t="str">
            <v>TAPE</v>
          </cell>
        </row>
        <row r="1736">
          <cell r="S1736">
            <v>25837</v>
          </cell>
          <cell r="T1736">
            <v>111300</v>
          </cell>
          <cell r="U1736">
            <v>311150</v>
          </cell>
          <cell r="W1736" t="str">
            <v>GQS</v>
          </cell>
          <cell r="Z1736">
            <v>448287</v>
          </cell>
          <cell r="AB1736" t="str">
            <v>POWER_UNIT</v>
          </cell>
        </row>
        <row r="1737">
          <cell r="S1737">
            <v>0</v>
          </cell>
          <cell r="T1737">
            <v>0</v>
          </cell>
          <cell r="U1737">
            <v>0</v>
          </cell>
          <cell r="W1737" t="str">
            <v>GQS</v>
          </cell>
          <cell r="Z1737">
            <v>0</v>
          </cell>
          <cell r="AB1737" t="str">
            <v>TAPE</v>
          </cell>
        </row>
        <row r="1738">
          <cell r="S1738">
            <v>43061</v>
          </cell>
          <cell r="T1738">
            <v>10500</v>
          </cell>
          <cell r="U1738">
            <v>617523</v>
          </cell>
          <cell r="W1738" t="str">
            <v>GQS</v>
          </cell>
          <cell r="Z1738">
            <v>671084</v>
          </cell>
          <cell r="AB1738" t="str">
            <v>PANEL</v>
          </cell>
        </row>
        <row r="1739">
          <cell r="S1739">
            <v>43061</v>
          </cell>
          <cell r="T1739">
            <v>134400</v>
          </cell>
          <cell r="U1739">
            <v>610638</v>
          </cell>
          <cell r="W1739" t="str">
            <v>GQS</v>
          </cell>
          <cell r="Z1739">
            <v>788099</v>
          </cell>
          <cell r="AB1739" t="str">
            <v>MAIN_UNIT</v>
          </cell>
        </row>
        <row r="1740">
          <cell r="S1740">
            <v>43061</v>
          </cell>
          <cell r="T1740">
            <v>10500</v>
          </cell>
          <cell r="U1740">
            <v>610637</v>
          </cell>
          <cell r="W1740" t="str">
            <v>GQS</v>
          </cell>
          <cell r="Z1740">
            <v>664198</v>
          </cell>
          <cell r="AB1740" t="str">
            <v>MAIN_UNIT</v>
          </cell>
        </row>
        <row r="1741">
          <cell r="S1741">
            <v>43061</v>
          </cell>
          <cell r="T1741">
            <v>0</v>
          </cell>
          <cell r="U1741">
            <v>1068810</v>
          </cell>
          <cell r="W1741" t="str">
            <v>GQS</v>
          </cell>
          <cell r="Z1741">
            <v>1111871</v>
          </cell>
          <cell r="AB1741" t="str">
            <v>PANEL</v>
          </cell>
        </row>
        <row r="1742">
          <cell r="S1742">
            <v>43061</v>
          </cell>
          <cell r="T1742">
            <v>8400</v>
          </cell>
          <cell r="U1742">
            <v>0</v>
          </cell>
          <cell r="W1742" t="str">
            <v>GQS</v>
          </cell>
          <cell r="Z1742">
            <v>51461</v>
          </cell>
        </row>
        <row r="1743">
          <cell r="S1743">
            <v>43061</v>
          </cell>
          <cell r="T1743">
            <v>14700</v>
          </cell>
          <cell r="U1743">
            <v>0</v>
          </cell>
          <cell r="W1743" t="str">
            <v>GQS</v>
          </cell>
          <cell r="Z1743">
            <v>57761</v>
          </cell>
        </row>
        <row r="1744">
          <cell r="S1744">
            <v>43061</v>
          </cell>
          <cell r="T1744">
            <v>12600</v>
          </cell>
          <cell r="U1744">
            <v>0</v>
          </cell>
          <cell r="W1744" t="str">
            <v>GQS</v>
          </cell>
          <cell r="Z1744">
            <v>55661</v>
          </cell>
        </row>
        <row r="1745">
          <cell r="S1745">
            <v>51673</v>
          </cell>
          <cell r="T1745">
            <v>63000</v>
          </cell>
          <cell r="U1745">
            <v>617523</v>
          </cell>
          <cell r="W1745" t="str">
            <v>GQS</v>
          </cell>
          <cell r="Z1745">
            <v>732196</v>
          </cell>
          <cell r="AB1745" t="str">
            <v>PANEL</v>
          </cell>
        </row>
        <row r="1746">
          <cell r="S1746">
            <v>0</v>
          </cell>
          <cell r="T1746">
            <v>0</v>
          </cell>
          <cell r="U1746">
            <v>0</v>
          </cell>
          <cell r="W1746" t="str">
            <v>GQS</v>
          </cell>
          <cell r="Z1746">
            <v>0</v>
          </cell>
          <cell r="AB1746" t="str">
            <v>TAPE</v>
          </cell>
        </row>
        <row r="1747">
          <cell r="S1747">
            <v>25837</v>
          </cell>
          <cell r="T1747">
            <v>21000</v>
          </cell>
          <cell r="U1747">
            <v>0</v>
          </cell>
          <cell r="W1747" t="str">
            <v>GQS</v>
          </cell>
          <cell r="Z1747">
            <v>46837</v>
          </cell>
        </row>
        <row r="1748">
          <cell r="S1748">
            <v>25837</v>
          </cell>
          <cell r="T1748">
            <v>105000</v>
          </cell>
          <cell r="U1748">
            <v>120302</v>
          </cell>
          <cell r="W1748" t="str">
            <v>GQS</v>
          </cell>
          <cell r="Z1748">
            <v>251139</v>
          </cell>
          <cell r="AB1748" t="str">
            <v>MAIN_UNIT</v>
          </cell>
        </row>
        <row r="1749">
          <cell r="S1749">
            <v>25837</v>
          </cell>
          <cell r="T1749">
            <v>130200</v>
          </cell>
          <cell r="U1749">
            <v>0</v>
          </cell>
          <cell r="W1749" t="str">
            <v>GQS</v>
          </cell>
          <cell r="Z1749">
            <v>156037</v>
          </cell>
        </row>
        <row r="1750">
          <cell r="S1750">
            <v>43061</v>
          </cell>
          <cell r="T1750">
            <v>63000</v>
          </cell>
          <cell r="U1750">
            <v>617523</v>
          </cell>
          <cell r="W1750" t="str">
            <v>GQS</v>
          </cell>
          <cell r="Z1750">
            <v>723584</v>
          </cell>
          <cell r="AB1750" t="str">
            <v>PANEL</v>
          </cell>
        </row>
        <row r="1751">
          <cell r="S1751">
            <v>0</v>
          </cell>
          <cell r="T1751">
            <v>0</v>
          </cell>
          <cell r="U1751">
            <v>0</v>
          </cell>
          <cell r="W1751" t="str">
            <v>GQS</v>
          </cell>
          <cell r="Z1751">
            <v>0</v>
          </cell>
          <cell r="AB1751" t="str">
            <v>TAPE</v>
          </cell>
        </row>
        <row r="1752">
          <cell r="S1752">
            <v>0</v>
          </cell>
          <cell r="T1752">
            <v>0</v>
          </cell>
          <cell r="U1752">
            <v>0</v>
          </cell>
          <cell r="W1752" t="str">
            <v>GQS</v>
          </cell>
          <cell r="Z1752">
            <v>0</v>
          </cell>
          <cell r="AB1752" t="str">
            <v>TAPE</v>
          </cell>
        </row>
        <row r="1753">
          <cell r="S1753">
            <v>43061</v>
          </cell>
          <cell r="T1753">
            <v>39900</v>
          </cell>
          <cell r="U1753">
            <v>590520</v>
          </cell>
          <cell r="W1753" t="str">
            <v>GQS</v>
          </cell>
          <cell r="Z1753">
            <v>673481</v>
          </cell>
          <cell r="AB1753" t="str">
            <v>PANEL</v>
          </cell>
        </row>
        <row r="1754">
          <cell r="S1754">
            <v>17224</v>
          </cell>
          <cell r="T1754">
            <v>21000</v>
          </cell>
          <cell r="U1754">
            <v>554475</v>
          </cell>
          <cell r="W1754" t="str">
            <v>GQS</v>
          </cell>
          <cell r="Z1754">
            <v>592699</v>
          </cell>
          <cell r="AB1754" t="str">
            <v>MAIN_UNIT</v>
          </cell>
        </row>
        <row r="1755">
          <cell r="S1755">
            <v>43061</v>
          </cell>
          <cell r="T1755">
            <v>21000</v>
          </cell>
          <cell r="U1755">
            <v>1573890</v>
          </cell>
          <cell r="W1755" t="str">
            <v>GQS</v>
          </cell>
          <cell r="Z1755">
            <v>1637951</v>
          </cell>
          <cell r="AB1755" t="str">
            <v>PANEL</v>
          </cell>
        </row>
        <row r="1756">
          <cell r="S1756">
            <v>68898</v>
          </cell>
          <cell r="T1756">
            <v>126000</v>
          </cell>
          <cell r="U1756">
            <v>120302</v>
          </cell>
          <cell r="W1756" t="str">
            <v>GQS</v>
          </cell>
          <cell r="Z1756">
            <v>315200</v>
          </cell>
          <cell r="AB1756" t="str">
            <v>MAIN_UNIT</v>
          </cell>
        </row>
        <row r="1757">
          <cell r="S1757">
            <v>8612</v>
          </cell>
          <cell r="T1757">
            <v>0</v>
          </cell>
          <cell r="U1757">
            <v>0</v>
          </cell>
          <cell r="W1757" t="str">
            <v>GQS</v>
          </cell>
          <cell r="Z1757">
            <v>8612</v>
          </cell>
        </row>
        <row r="1758">
          <cell r="S1758">
            <v>8612</v>
          </cell>
          <cell r="T1758">
            <v>42000</v>
          </cell>
          <cell r="U1758">
            <v>0</v>
          </cell>
          <cell r="W1758" t="str">
            <v>GQS</v>
          </cell>
          <cell r="Z1758">
            <v>50612</v>
          </cell>
        </row>
        <row r="1759">
          <cell r="S1759">
            <v>8612</v>
          </cell>
          <cell r="T1759">
            <v>0</v>
          </cell>
          <cell r="U1759">
            <v>0</v>
          </cell>
          <cell r="W1759" t="str">
            <v>GQS</v>
          </cell>
          <cell r="Z1759">
            <v>8612</v>
          </cell>
        </row>
        <row r="1760">
          <cell r="S1760">
            <v>43061</v>
          </cell>
          <cell r="T1760">
            <v>8400</v>
          </cell>
          <cell r="U1760">
            <v>610638</v>
          </cell>
          <cell r="W1760" t="str">
            <v>GQS</v>
          </cell>
          <cell r="Z1760">
            <v>662099</v>
          </cell>
          <cell r="AB1760" t="str">
            <v>MAIN_UNIT</v>
          </cell>
        </row>
        <row r="1761">
          <cell r="S1761">
            <v>43061</v>
          </cell>
          <cell r="T1761">
            <v>31500</v>
          </cell>
          <cell r="U1761">
            <v>367125</v>
          </cell>
          <cell r="W1761" t="str">
            <v>GQS</v>
          </cell>
          <cell r="Z1761">
            <v>441686</v>
          </cell>
          <cell r="AB1761" t="str">
            <v>PANEL</v>
          </cell>
        </row>
        <row r="1762">
          <cell r="S1762">
            <v>25837</v>
          </cell>
          <cell r="T1762">
            <v>6300</v>
          </cell>
          <cell r="U1762">
            <v>80830</v>
          </cell>
          <cell r="W1762" t="str">
            <v>GQS</v>
          </cell>
          <cell r="Z1762">
            <v>112967</v>
          </cell>
          <cell r="AB1762" t="str">
            <v>POWER_UNIT</v>
          </cell>
        </row>
        <row r="1763">
          <cell r="S1763">
            <v>34449</v>
          </cell>
          <cell r="T1763">
            <v>10500</v>
          </cell>
          <cell r="U1763">
            <v>0</v>
          </cell>
          <cell r="W1763" t="str">
            <v>GQS</v>
          </cell>
          <cell r="Z1763">
            <v>44949</v>
          </cell>
        </row>
        <row r="1764">
          <cell r="S1764">
            <v>51673</v>
          </cell>
          <cell r="T1764">
            <v>73500</v>
          </cell>
          <cell r="U1764">
            <v>297604</v>
          </cell>
          <cell r="W1764" t="str">
            <v>GQS</v>
          </cell>
          <cell r="Z1764">
            <v>422777</v>
          </cell>
          <cell r="AB1764" t="str">
            <v>MAIN_UNIT</v>
          </cell>
        </row>
        <row r="1765">
          <cell r="S1765">
            <v>43061</v>
          </cell>
          <cell r="T1765">
            <v>56700</v>
          </cell>
          <cell r="U1765">
            <v>1461724</v>
          </cell>
          <cell r="W1765" t="str">
            <v>GQS</v>
          </cell>
          <cell r="Z1765">
            <v>1561485</v>
          </cell>
          <cell r="AB1765" t="str">
            <v>PANEL</v>
          </cell>
        </row>
        <row r="1766">
          <cell r="S1766">
            <v>86122</v>
          </cell>
          <cell r="T1766">
            <v>37800</v>
          </cell>
          <cell r="U1766">
            <v>145348</v>
          </cell>
          <cell r="W1766" t="str">
            <v>GQS</v>
          </cell>
          <cell r="Z1766">
            <v>269270</v>
          </cell>
          <cell r="AB1766" t="str">
            <v>POWER_UNIT</v>
          </cell>
        </row>
        <row r="1767">
          <cell r="S1767">
            <v>43061</v>
          </cell>
          <cell r="T1767">
            <v>12600</v>
          </cell>
          <cell r="U1767">
            <v>39603</v>
          </cell>
          <cell r="W1767" t="str">
            <v>GQS</v>
          </cell>
          <cell r="Z1767">
            <v>95264</v>
          </cell>
          <cell r="AB1767" t="str">
            <v>LED_BAR</v>
          </cell>
        </row>
        <row r="1768">
          <cell r="S1768">
            <v>43061</v>
          </cell>
          <cell r="T1768">
            <v>21000</v>
          </cell>
          <cell r="U1768">
            <v>0</v>
          </cell>
          <cell r="W1768" t="str">
            <v>GQS</v>
          </cell>
          <cell r="Z1768">
            <v>64061</v>
          </cell>
        </row>
        <row r="1769">
          <cell r="S1769">
            <v>25837</v>
          </cell>
          <cell r="T1769">
            <v>31500</v>
          </cell>
          <cell r="U1769">
            <v>299936</v>
          </cell>
          <cell r="W1769" t="str">
            <v>GQS</v>
          </cell>
          <cell r="Z1769">
            <v>357273</v>
          </cell>
          <cell r="AB1769" t="str">
            <v>MAIN_UNIT</v>
          </cell>
        </row>
        <row r="1770">
          <cell r="S1770">
            <v>43061</v>
          </cell>
          <cell r="T1770">
            <v>12600</v>
          </cell>
          <cell r="U1770">
            <v>120302</v>
          </cell>
          <cell r="W1770" t="str">
            <v>GQS</v>
          </cell>
          <cell r="Z1770">
            <v>175963</v>
          </cell>
          <cell r="AB1770" t="str">
            <v>MAIN_UNIT</v>
          </cell>
        </row>
        <row r="1771">
          <cell r="S1771">
            <v>43061</v>
          </cell>
          <cell r="T1771">
            <v>42000</v>
          </cell>
          <cell r="U1771">
            <v>0</v>
          </cell>
          <cell r="W1771" t="str">
            <v>GQS</v>
          </cell>
          <cell r="Z1771">
            <v>85061</v>
          </cell>
        </row>
        <row r="1772">
          <cell r="S1772">
            <v>43061</v>
          </cell>
          <cell r="T1772">
            <v>31500</v>
          </cell>
          <cell r="U1772">
            <v>316600</v>
          </cell>
          <cell r="W1772" t="str">
            <v>GQS</v>
          </cell>
          <cell r="Z1772">
            <v>391161</v>
          </cell>
          <cell r="AB1772" t="str">
            <v>MAIN_UNIT</v>
          </cell>
        </row>
        <row r="1773">
          <cell r="S1773">
            <v>86122</v>
          </cell>
          <cell r="T1773">
            <v>37800</v>
          </cell>
          <cell r="U1773">
            <v>297604</v>
          </cell>
          <cell r="W1773" t="str">
            <v>GQS</v>
          </cell>
          <cell r="Z1773">
            <v>421526</v>
          </cell>
          <cell r="AB1773" t="str">
            <v>MAIN_UNIT</v>
          </cell>
        </row>
        <row r="1774">
          <cell r="S1774">
            <v>43061</v>
          </cell>
          <cell r="T1774">
            <v>31500</v>
          </cell>
          <cell r="U1774">
            <v>0</v>
          </cell>
          <cell r="W1774" t="str">
            <v>GQS</v>
          </cell>
          <cell r="Z1774">
            <v>74561</v>
          </cell>
        </row>
        <row r="1775">
          <cell r="S1775">
            <v>17224</v>
          </cell>
          <cell r="T1775">
            <v>0</v>
          </cell>
          <cell r="U1775">
            <v>0</v>
          </cell>
          <cell r="W1775" t="str">
            <v>GQS</v>
          </cell>
          <cell r="Z1775">
            <v>17224</v>
          </cell>
        </row>
        <row r="1776">
          <cell r="S1776">
            <v>43061</v>
          </cell>
          <cell r="T1776">
            <v>18900</v>
          </cell>
          <cell r="U1776">
            <v>297603</v>
          </cell>
          <cell r="W1776" t="str">
            <v>GQS</v>
          </cell>
          <cell r="Z1776">
            <v>359564</v>
          </cell>
          <cell r="AB1776" t="str">
            <v>MAIN_UNIT</v>
          </cell>
        </row>
        <row r="1777">
          <cell r="S1777">
            <v>25837</v>
          </cell>
          <cell r="T1777">
            <v>21000</v>
          </cell>
          <cell r="U1777">
            <v>0</v>
          </cell>
          <cell r="W1777" t="str">
            <v>GQS</v>
          </cell>
          <cell r="Z1777">
            <v>46837</v>
          </cell>
        </row>
        <row r="1778">
          <cell r="S1778">
            <v>43061</v>
          </cell>
          <cell r="T1778">
            <v>67200</v>
          </cell>
          <cell r="U1778">
            <v>297603</v>
          </cell>
          <cell r="W1778" t="str">
            <v>GQS</v>
          </cell>
          <cell r="Z1778">
            <v>407864</v>
          </cell>
          <cell r="AB1778" t="str">
            <v>MAIN_UNIT</v>
          </cell>
        </row>
        <row r="1779">
          <cell r="S1779">
            <v>34449</v>
          </cell>
          <cell r="T1779">
            <v>27300</v>
          </cell>
          <cell r="U1779">
            <v>569380</v>
          </cell>
          <cell r="W1779" t="str">
            <v>GQS</v>
          </cell>
          <cell r="Z1779">
            <v>631129</v>
          </cell>
          <cell r="AB1779" t="str">
            <v>PANEL</v>
          </cell>
        </row>
        <row r="1780">
          <cell r="S1780">
            <v>43061</v>
          </cell>
          <cell r="T1780">
            <v>147000</v>
          </cell>
          <cell r="U1780">
            <v>306123</v>
          </cell>
          <cell r="W1780" t="str">
            <v>GQS</v>
          </cell>
          <cell r="Z1780">
            <v>496184</v>
          </cell>
          <cell r="AB1780" t="str">
            <v>MAIN_UNIT</v>
          </cell>
        </row>
        <row r="1781">
          <cell r="S1781">
            <v>25837</v>
          </cell>
          <cell r="T1781">
            <v>21000</v>
          </cell>
          <cell r="U1781">
            <v>0</v>
          </cell>
          <cell r="W1781" t="str">
            <v>GQS</v>
          </cell>
          <cell r="Z1781">
            <v>46837</v>
          </cell>
        </row>
        <row r="1782">
          <cell r="S1782">
            <v>86122</v>
          </cell>
          <cell r="T1782">
            <v>155400</v>
          </cell>
          <cell r="U1782">
            <v>297603</v>
          </cell>
          <cell r="W1782" t="str">
            <v>GQS</v>
          </cell>
          <cell r="Z1782">
            <v>539125</v>
          </cell>
          <cell r="AB1782" t="str">
            <v>MAIN_UNIT</v>
          </cell>
        </row>
        <row r="1783">
          <cell r="S1783">
            <v>43061</v>
          </cell>
          <cell r="T1783">
            <v>42000</v>
          </cell>
          <cell r="U1783">
            <v>617523</v>
          </cell>
          <cell r="W1783" t="str">
            <v>GQS</v>
          </cell>
          <cell r="Z1783">
            <v>702584</v>
          </cell>
          <cell r="AB1783" t="str">
            <v>PANEL</v>
          </cell>
        </row>
        <row r="1784">
          <cell r="S1784">
            <v>0</v>
          </cell>
          <cell r="T1784">
            <v>0</v>
          </cell>
          <cell r="U1784">
            <v>0</v>
          </cell>
          <cell r="W1784" t="str">
            <v>GQS</v>
          </cell>
          <cell r="Z1784">
            <v>0</v>
          </cell>
          <cell r="AB1784" t="str">
            <v>TAPE</v>
          </cell>
        </row>
        <row r="1785">
          <cell r="S1785">
            <v>43061</v>
          </cell>
          <cell r="T1785">
            <v>29400</v>
          </cell>
          <cell r="U1785">
            <v>972376</v>
          </cell>
          <cell r="W1785" t="str">
            <v>GQS</v>
          </cell>
          <cell r="Z1785">
            <v>1044837</v>
          </cell>
          <cell r="AB1785" t="str">
            <v>MAIN_UNIT</v>
          </cell>
        </row>
        <row r="1786">
          <cell r="S1786">
            <v>43061</v>
          </cell>
          <cell r="T1786">
            <v>21000</v>
          </cell>
          <cell r="U1786">
            <v>107875</v>
          </cell>
          <cell r="W1786" t="str">
            <v>GQS</v>
          </cell>
          <cell r="Z1786">
            <v>171936</v>
          </cell>
          <cell r="AB1786" t="str">
            <v>POWER_UNIT</v>
          </cell>
        </row>
        <row r="1787">
          <cell r="S1787">
            <v>0</v>
          </cell>
          <cell r="T1787">
            <v>0</v>
          </cell>
          <cell r="U1787">
            <v>0</v>
          </cell>
          <cell r="W1787" t="str">
            <v>GQS</v>
          </cell>
          <cell r="Z1787">
            <v>0</v>
          </cell>
          <cell r="AB1787" t="str">
            <v>TAPE</v>
          </cell>
        </row>
        <row r="1788">
          <cell r="S1788">
            <v>43061</v>
          </cell>
          <cell r="T1788">
            <v>31500</v>
          </cell>
          <cell r="U1788">
            <v>1065696</v>
          </cell>
          <cell r="W1788" t="str">
            <v>GQS</v>
          </cell>
          <cell r="Z1788">
            <v>1140257</v>
          </cell>
          <cell r="AB1788" t="str">
            <v>PANEL</v>
          </cell>
        </row>
        <row r="1789">
          <cell r="S1789">
            <v>43061</v>
          </cell>
          <cell r="T1789">
            <v>21000</v>
          </cell>
          <cell r="U1789">
            <v>522997</v>
          </cell>
          <cell r="W1789" t="str">
            <v>GQS</v>
          </cell>
          <cell r="Z1789">
            <v>587058</v>
          </cell>
          <cell r="AB1789" t="str">
            <v>PANEL</v>
          </cell>
        </row>
        <row r="1790">
          <cell r="S1790">
            <v>17224</v>
          </cell>
          <cell r="T1790">
            <v>52500</v>
          </cell>
          <cell r="U1790">
            <v>204082</v>
          </cell>
          <cell r="W1790" t="str">
            <v>GQS</v>
          </cell>
          <cell r="Z1790">
            <v>273806</v>
          </cell>
          <cell r="AB1790" t="str">
            <v>MAIN_UNIT</v>
          </cell>
        </row>
        <row r="1791">
          <cell r="S1791">
            <v>43061</v>
          </cell>
          <cell r="T1791">
            <v>21000</v>
          </cell>
          <cell r="U1791">
            <v>969798</v>
          </cell>
          <cell r="W1791" t="str">
            <v>GQS</v>
          </cell>
          <cell r="Z1791">
            <v>1033859</v>
          </cell>
          <cell r="AB1791" t="str">
            <v>PANEL</v>
          </cell>
        </row>
        <row r="1792">
          <cell r="S1792">
            <v>43061</v>
          </cell>
          <cell r="T1792">
            <v>10500</v>
          </cell>
          <cell r="U1792">
            <v>0</v>
          </cell>
          <cell r="W1792" t="str">
            <v>GQS</v>
          </cell>
          <cell r="Z1792">
            <v>53561</v>
          </cell>
        </row>
        <row r="1793">
          <cell r="S1793">
            <v>25837</v>
          </cell>
          <cell r="T1793">
            <v>18900</v>
          </cell>
          <cell r="U1793">
            <v>297603</v>
          </cell>
          <cell r="W1793" t="str">
            <v>GQS</v>
          </cell>
          <cell r="Z1793">
            <v>342340</v>
          </cell>
          <cell r="AB1793" t="str">
            <v>MAIN_UNIT</v>
          </cell>
        </row>
        <row r="1794">
          <cell r="S1794">
            <v>25837</v>
          </cell>
          <cell r="T1794">
            <v>42000</v>
          </cell>
          <cell r="U1794">
            <v>0</v>
          </cell>
          <cell r="W1794" t="str">
            <v>GQS</v>
          </cell>
          <cell r="Z1794">
            <v>67837</v>
          </cell>
        </row>
        <row r="1795">
          <cell r="S1795">
            <v>60285</v>
          </cell>
          <cell r="T1795">
            <v>29400</v>
          </cell>
          <cell r="U1795">
            <v>0</v>
          </cell>
          <cell r="W1795" t="str">
            <v>GQS</v>
          </cell>
          <cell r="Z1795">
            <v>89685</v>
          </cell>
        </row>
        <row r="1796">
          <cell r="S1796">
            <v>43061</v>
          </cell>
          <cell r="T1796">
            <v>21000</v>
          </cell>
          <cell r="U1796">
            <v>969798</v>
          </cell>
          <cell r="W1796" t="str">
            <v>GQS</v>
          </cell>
          <cell r="Z1796">
            <v>1033859</v>
          </cell>
          <cell r="AB1796" t="str">
            <v>PANEL</v>
          </cell>
        </row>
        <row r="1797">
          <cell r="S1797">
            <v>51673</v>
          </cell>
          <cell r="T1797">
            <v>73500</v>
          </cell>
          <cell r="U1797">
            <v>0</v>
          </cell>
          <cell r="W1797" t="str">
            <v>GQS</v>
          </cell>
          <cell r="Z1797">
            <v>125173</v>
          </cell>
        </row>
        <row r="1798">
          <cell r="S1798">
            <v>17224</v>
          </cell>
          <cell r="T1798">
            <v>31500</v>
          </cell>
          <cell r="U1798">
            <v>0</v>
          </cell>
          <cell r="W1798" t="str">
            <v>GQS</v>
          </cell>
          <cell r="Z1798">
            <v>48724</v>
          </cell>
        </row>
        <row r="1799">
          <cell r="S1799">
            <v>43061</v>
          </cell>
          <cell r="T1799">
            <v>33600</v>
          </cell>
          <cell r="U1799">
            <v>0</v>
          </cell>
          <cell r="W1799" t="str">
            <v>GQS</v>
          </cell>
          <cell r="Z1799">
            <v>76661</v>
          </cell>
        </row>
        <row r="1800">
          <cell r="S1800">
            <v>86122</v>
          </cell>
          <cell r="T1800">
            <v>42000</v>
          </cell>
          <cell r="U1800">
            <v>1461724</v>
          </cell>
          <cell r="W1800" t="str">
            <v>GQS</v>
          </cell>
          <cell r="Z1800">
            <v>1589846</v>
          </cell>
          <cell r="AB1800" t="str">
            <v>PANEL</v>
          </cell>
        </row>
        <row r="1801">
          <cell r="S1801">
            <v>25837</v>
          </cell>
          <cell r="T1801">
            <v>31500</v>
          </cell>
          <cell r="U1801">
            <v>316601</v>
          </cell>
          <cell r="W1801" t="str">
            <v>GQS</v>
          </cell>
          <cell r="Z1801">
            <v>373938</v>
          </cell>
          <cell r="AB1801" t="str">
            <v>MAIN_UNIT</v>
          </cell>
        </row>
        <row r="1802">
          <cell r="S1802">
            <v>86122</v>
          </cell>
          <cell r="T1802">
            <v>18900</v>
          </cell>
          <cell r="U1802">
            <v>0</v>
          </cell>
          <cell r="W1802" t="str">
            <v>GQS</v>
          </cell>
          <cell r="Z1802">
            <v>105022</v>
          </cell>
        </row>
        <row r="1803">
          <cell r="S1803">
            <v>34449</v>
          </cell>
          <cell r="T1803">
            <v>69300</v>
          </cell>
          <cell r="U1803">
            <v>297603</v>
          </cell>
          <cell r="W1803" t="str">
            <v>GQS</v>
          </cell>
          <cell r="Z1803">
            <v>401352</v>
          </cell>
          <cell r="AB1803" t="str">
            <v>MAIN_UNIT</v>
          </cell>
        </row>
        <row r="1804">
          <cell r="S1804">
            <v>43061</v>
          </cell>
          <cell r="T1804">
            <v>4200</v>
          </cell>
          <cell r="U1804">
            <v>0</v>
          </cell>
          <cell r="W1804" t="str">
            <v>GQS</v>
          </cell>
          <cell r="Z1804">
            <v>47261</v>
          </cell>
        </row>
        <row r="1805">
          <cell r="S1805">
            <v>43061</v>
          </cell>
          <cell r="T1805">
            <v>21000</v>
          </cell>
          <cell r="U1805">
            <v>0</v>
          </cell>
          <cell r="W1805" t="str">
            <v>GQS</v>
          </cell>
          <cell r="Z1805">
            <v>64061</v>
          </cell>
        </row>
        <row r="1806">
          <cell r="S1806">
            <v>86122</v>
          </cell>
          <cell r="T1806">
            <v>21000</v>
          </cell>
          <cell r="U1806">
            <v>311150</v>
          </cell>
          <cell r="W1806" t="str">
            <v>GQS</v>
          </cell>
          <cell r="Z1806">
            <v>418272</v>
          </cell>
          <cell r="AB1806" t="str">
            <v>POWER_UNIT</v>
          </cell>
        </row>
        <row r="1807">
          <cell r="S1807">
            <v>43061</v>
          </cell>
          <cell r="T1807">
            <v>21000</v>
          </cell>
          <cell r="U1807">
            <v>1475532</v>
          </cell>
          <cell r="W1807" t="str">
            <v>GQS</v>
          </cell>
          <cell r="Z1807">
            <v>1539593</v>
          </cell>
          <cell r="AB1807" t="str">
            <v>PANEL</v>
          </cell>
        </row>
        <row r="1808">
          <cell r="S1808">
            <v>0</v>
          </cell>
          <cell r="T1808">
            <v>0</v>
          </cell>
          <cell r="U1808">
            <v>0</v>
          </cell>
          <cell r="W1808" t="str">
            <v>GQS</v>
          </cell>
          <cell r="Z1808">
            <v>0</v>
          </cell>
          <cell r="AB1808" t="str">
            <v>LVDS_WIRE</v>
          </cell>
        </row>
        <row r="1809">
          <cell r="S1809">
            <v>0</v>
          </cell>
          <cell r="T1809">
            <v>0</v>
          </cell>
          <cell r="U1809">
            <v>0</v>
          </cell>
          <cell r="W1809" t="str">
            <v>GQS</v>
          </cell>
          <cell r="Z1809">
            <v>0</v>
          </cell>
          <cell r="AB1809" t="str">
            <v>LVDS_WIRE</v>
          </cell>
        </row>
        <row r="1810">
          <cell r="S1810">
            <v>43061</v>
          </cell>
          <cell r="T1810">
            <v>21000</v>
          </cell>
          <cell r="U1810">
            <v>1053784</v>
          </cell>
          <cell r="W1810" t="str">
            <v>GQS</v>
          </cell>
          <cell r="Z1810">
            <v>1117845</v>
          </cell>
          <cell r="AB1810" t="str">
            <v>MAIN_UNIT</v>
          </cell>
        </row>
        <row r="1811">
          <cell r="S1811">
            <v>25837</v>
          </cell>
          <cell r="T1811">
            <v>17640</v>
          </cell>
          <cell r="U1811">
            <v>0</v>
          </cell>
          <cell r="W1811" t="str">
            <v>GQS</v>
          </cell>
          <cell r="Z1811">
            <v>43477</v>
          </cell>
        </row>
        <row r="1812">
          <cell r="S1812">
            <v>25837</v>
          </cell>
          <cell r="T1812">
            <v>0</v>
          </cell>
          <cell r="U1812">
            <v>0</v>
          </cell>
          <cell r="W1812" t="str">
            <v>GQS</v>
          </cell>
          <cell r="Z1812">
            <v>25837</v>
          </cell>
        </row>
        <row r="1813">
          <cell r="S1813">
            <v>86122</v>
          </cell>
          <cell r="T1813">
            <v>21000</v>
          </cell>
          <cell r="U1813">
            <v>0</v>
          </cell>
          <cell r="W1813" t="str">
            <v>GQS</v>
          </cell>
          <cell r="Z1813">
            <v>107122</v>
          </cell>
        </row>
        <row r="1814">
          <cell r="S1814">
            <v>43061</v>
          </cell>
          <cell r="T1814">
            <v>18900</v>
          </cell>
          <cell r="U1814">
            <v>1053784</v>
          </cell>
          <cell r="W1814" t="str">
            <v>GQS</v>
          </cell>
          <cell r="Z1814">
            <v>1115745</v>
          </cell>
          <cell r="AB1814" t="str">
            <v>MAIN_UNIT</v>
          </cell>
        </row>
        <row r="1815">
          <cell r="S1815">
            <v>51673</v>
          </cell>
          <cell r="T1815">
            <v>56700</v>
          </cell>
          <cell r="U1815">
            <v>310072</v>
          </cell>
          <cell r="W1815" t="str">
            <v>GQS</v>
          </cell>
          <cell r="Z1815">
            <v>418445</v>
          </cell>
          <cell r="AB1815" t="str">
            <v>MAIN_UNIT</v>
          </cell>
        </row>
        <row r="1816">
          <cell r="S1816">
            <v>0</v>
          </cell>
          <cell r="T1816">
            <v>0</v>
          </cell>
          <cell r="U1816">
            <v>0</v>
          </cell>
          <cell r="W1816" t="str">
            <v>GQS</v>
          </cell>
          <cell r="Z1816">
            <v>0</v>
          </cell>
          <cell r="AB1816" t="str">
            <v>REMOTE_CONTROL</v>
          </cell>
        </row>
        <row r="1817">
          <cell r="S1817">
            <v>43061</v>
          </cell>
          <cell r="T1817">
            <v>21000</v>
          </cell>
          <cell r="U1817">
            <v>569380</v>
          </cell>
          <cell r="W1817" t="str">
            <v>GQS</v>
          </cell>
          <cell r="Z1817">
            <v>633441</v>
          </cell>
          <cell r="AB1817" t="str">
            <v>PANEL</v>
          </cell>
        </row>
        <row r="1818">
          <cell r="S1818">
            <v>43061</v>
          </cell>
          <cell r="T1818">
            <v>21000</v>
          </cell>
          <cell r="U1818">
            <v>569380</v>
          </cell>
          <cell r="W1818" t="str">
            <v>GQS</v>
          </cell>
          <cell r="Z1818">
            <v>633441</v>
          </cell>
          <cell r="AB1818" t="str">
            <v>PANEL</v>
          </cell>
        </row>
        <row r="1819">
          <cell r="S1819">
            <v>86122</v>
          </cell>
          <cell r="T1819">
            <v>31500</v>
          </cell>
          <cell r="U1819">
            <v>80830</v>
          </cell>
          <cell r="W1819" t="str">
            <v>GQS</v>
          </cell>
          <cell r="Z1819">
            <v>198452</v>
          </cell>
          <cell r="AB1819" t="str">
            <v>POWER_UNIT</v>
          </cell>
        </row>
        <row r="1820">
          <cell r="S1820">
            <v>17224</v>
          </cell>
          <cell r="T1820">
            <v>35700</v>
          </cell>
          <cell r="U1820">
            <v>0</v>
          </cell>
          <cell r="W1820" t="str">
            <v>GQS</v>
          </cell>
          <cell r="Z1820">
            <v>52924</v>
          </cell>
        </row>
        <row r="1821">
          <cell r="S1821">
            <v>43061</v>
          </cell>
          <cell r="T1821">
            <v>25200</v>
          </cell>
          <cell r="U1821">
            <v>0</v>
          </cell>
          <cell r="W1821" t="str">
            <v>GQS</v>
          </cell>
          <cell r="Z1821">
            <v>68261</v>
          </cell>
        </row>
        <row r="1822">
          <cell r="S1822">
            <v>17224</v>
          </cell>
          <cell r="T1822">
            <v>25200</v>
          </cell>
          <cell r="U1822">
            <v>0</v>
          </cell>
          <cell r="W1822" t="str">
            <v>GQS</v>
          </cell>
          <cell r="Z1822">
            <v>42424</v>
          </cell>
        </row>
        <row r="1823">
          <cell r="S1823">
            <v>86122</v>
          </cell>
          <cell r="T1823">
            <v>21000</v>
          </cell>
          <cell r="U1823">
            <v>710447</v>
          </cell>
          <cell r="W1823" t="str">
            <v>GQS</v>
          </cell>
          <cell r="Z1823">
            <v>817569</v>
          </cell>
          <cell r="AB1823" t="str">
            <v>MAIN_UNIT</v>
          </cell>
        </row>
        <row r="1824">
          <cell r="S1824">
            <v>0</v>
          </cell>
          <cell r="T1824">
            <v>0</v>
          </cell>
          <cell r="U1824">
            <v>0</v>
          </cell>
          <cell r="W1824" t="str">
            <v>GQS</v>
          </cell>
          <cell r="Z1824">
            <v>0</v>
          </cell>
          <cell r="AB1824" t="str">
            <v>POWER_UNIT</v>
          </cell>
        </row>
        <row r="1825">
          <cell r="S1825">
            <v>0</v>
          </cell>
          <cell r="T1825">
            <v>0</v>
          </cell>
          <cell r="U1825">
            <v>0</v>
          </cell>
          <cell r="W1825" t="str">
            <v>GQS</v>
          </cell>
          <cell r="Z1825">
            <v>0</v>
          </cell>
          <cell r="AB1825" t="str">
            <v>LVDS_WIRE</v>
          </cell>
        </row>
        <row r="1826">
          <cell r="S1826">
            <v>68898</v>
          </cell>
          <cell r="T1826">
            <v>35700</v>
          </cell>
          <cell r="U1826">
            <v>1037308</v>
          </cell>
          <cell r="W1826" t="str">
            <v>GQS</v>
          </cell>
          <cell r="Z1826">
            <v>1141906</v>
          </cell>
          <cell r="AB1826" t="str">
            <v>PANEL</v>
          </cell>
        </row>
        <row r="1827">
          <cell r="S1827">
            <v>43061</v>
          </cell>
          <cell r="T1827">
            <v>21000</v>
          </cell>
          <cell r="U1827">
            <v>0</v>
          </cell>
          <cell r="W1827" t="str">
            <v>GQS</v>
          </cell>
          <cell r="Z1827">
            <v>64061</v>
          </cell>
        </row>
        <row r="1828">
          <cell r="S1828">
            <v>43061</v>
          </cell>
          <cell r="T1828">
            <v>18900</v>
          </cell>
          <cell r="U1828">
            <v>0</v>
          </cell>
          <cell r="W1828" t="str">
            <v>GQS</v>
          </cell>
          <cell r="Z1828">
            <v>61961</v>
          </cell>
        </row>
        <row r="1829">
          <cell r="S1829">
            <v>43061</v>
          </cell>
          <cell r="T1829">
            <v>63000</v>
          </cell>
          <cell r="U1829">
            <v>0</v>
          </cell>
          <cell r="W1829" t="str">
            <v>GQS</v>
          </cell>
          <cell r="Z1829">
            <v>106061</v>
          </cell>
        </row>
        <row r="1830">
          <cell r="S1830">
            <v>25837</v>
          </cell>
          <cell r="T1830">
            <v>10500</v>
          </cell>
          <cell r="U1830">
            <v>0</v>
          </cell>
          <cell r="W1830" t="str">
            <v>GQS</v>
          </cell>
          <cell r="Z1830">
            <v>36337</v>
          </cell>
        </row>
        <row r="1831">
          <cell r="S1831">
            <v>43061</v>
          </cell>
          <cell r="T1831">
            <v>31500</v>
          </cell>
          <cell r="U1831">
            <v>297604</v>
          </cell>
          <cell r="W1831" t="str">
            <v>GQS</v>
          </cell>
          <cell r="Z1831">
            <v>372165</v>
          </cell>
          <cell r="AB1831" t="str">
            <v>MAIN_UNIT</v>
          </cell>
        </row>
        <row r="1832">
          <cell r="S1832">
            <v>17224</v>
          </cell>
          <cell r="T1832">
            <v>21000</v>
          </cell>
          <cell r="U1832">
            <v>0</v>
          </cell>
          <cell r="W1832" t="str">
            <v>GQS</v>
          </cell>
          <cell r="Z1832">
            <v>38224</v>
          </cell>
        </row>
        <row r="1833">
          <cell r="S1833">
            <v>43061</v>
          </cell>
          <cell r="T1833">
            <v>21000</v>
          </cell>
          <cell r="U1833">
            <v>610637</v>
          </cell>
          <cell r="W1833" t="str">
            <v>GQS</v>
          </cell>
          <cell r="Z1833">
            <v>674698</v>
          </cell>
          <cell r="AB1833" t="str">
            <v>MAIN_UNIT</v>
          </cell>
        </row>
        <row r="1834">
          <cell r="S1834">
            <v>43061</v>
          </cell>
          <cell r="T1834">
            <v>42000</v>
          </cell>
          <cell r="U1834">
            <v>0</v>
          </cell>
          <cell r="W1834" t="str">
            <v>GQS</v>
          </cell>
          <cell r="Z1834">
            <v>85061</v>
          </cell>
        </row>
        <row r="1835">
          <cell r="S1835">
            <v>86122</v>
          </cell>
          <cell r="T1835">
            <v>42000</v>
          </cell>
          <cell r="U1835">
            <v>1461724</v>
          </cell>
          <cell r="W1835" t="str">
            <v>GQS</v>
          </cell>
          <cell r="Z1835">
            <v>1589846</v>
          </cell>
          <cell r="AB1835" t="str">
            <v>PANEL</v>
          </cell>
        </row>
        <row r="1836">
          <cell r="S1836">
            <v>25837</v>
          </cell>
          <cell r="T1836">
            <v>58800</v>
          </cell>
          <cell r="U1836">
            <v>0</v>
          </cell>
          <cell r="W1836" t="str">
            <v>GQS</v>
          </cell>
          <cell r="Z1836">
            <v>84637</v>
          </cell>
        </row>
        <row r="1837">
          <cell r="S1837">
            <v>43061</v>
          </cell>
          <cell r="T1837">
            <v>39900</v>
          </cell>
          <cell r="U1837">
            <v>0</v>
          </cell>
          <cell r="W1837" t="str">
            <v>GQS</v>
          </cell>
          <cell r="Z1837">
            <v>82961</v>
          </cell>
        </row>
        <row r="1838">
          <cell r="S1838">
            <v>43061</v>
          </cell>
          <cell r="T1838">
            <v>50400</v>
          </cell>
          <cell r="U1838">
            <v>610638</v>
          </cell>
          <cell r="W1838" t="str">
            <v>GQS</v>
          </cell>
          <cell r="Z1838">
            <v>704099</v>
          </cell>
          <cell r="AB1838" t="str">
            <v>MAIN_UNIT</v>
          </cell>
        </row>
        <row r="1839">
          <cell r="S1839">
            <v>43061</v>
          </cell>
          <cell r="T1839">
            <v>126000</v>
          </cell>
          <cell r="U1839">
            <v>0</v>
          </cell>
          <cell r="W1839" t="str">
            <v>GQS</v>
          </cell>
          <cell r="Z1839">
            <v>169061</v>
          </cell>
        </row>
        <row r="1840">
          <cell r="S1840">
            <v>43061</v>
          </cell>
          <cell r="T1840">
            <v>50400</v>
          </cell>
          <cell r="U1840">
            <v>0</v>
          </cell>
          <cell r="W1840" t="str">
            <v>GQS</v>
          </cell>
          <cell r="Z1840">
            <v>93461</v>
          </cell>
        </row>
        <row r="1841">
          <cell r="S1841">
            <v>43061</v>
          </cell>
          <cell r="T1841">
            <v>42000</v>
          </cell>
          <cell r="U1841">
            <v>297603</v>
          </cell>
          <cell r="W1841" t="str">
            <v>GQS</v>
          </cell>
          <cell r="Z1841">
            <v>382664</v>
          </cell>
          <cell r="AB1841" t="str">
            <v>MAIN_UNIT</v>
          </cell>
        </row>
        <row r="1842">
          <cell r="S1842">
            <v>25837</v>
          </cell>
          <cell r="T1842">
            <v>18900</v>
          </cell>
          <cell r="U1842">
            <v>0</v>
          </cell>
          <cell r="W1842" t="str">
            <v>GQS</v>
          </cell>
          <cell r="Z1842">
            <v>44737</v>
          </cell>
        </row>
        <row r="1843">
          <cell r="S1843">
            <v>34449</v>
          </cell>
          <cell r="T1843">
            <v>10500</v>
          </cell>
          <cell r="U1843">
            <v>0</v>
          </cell>
          <cell r="W1843" t="str">
            <v>GQS</v>
          </cell>
          <cell r="Z1843">
            <v>44949</v>
          </cell>
        </row>
        <row r="1844">
          <cell r="S1844">
            <v>43061</v>
          </cell>
          <cell r="T1844">
            <v>21000</v>
          </cell>
          <cell r="U1844">
            <v>571944</v>
          </cell>
          <cell r="W1844" t="str">
            <v>GQS</v>
          </cell>
          <cell r="Z1844">
            <v>636005</v>
          </cell>
          <cell r="AB1844" t="str">
            <v>PANEL</v>
          </cell>
        </row>
        <row r="1845">
          <cell r="S1845">
            <v>43061</v>
          </cell>
          <cell r="T1845">
            <v>44100</v>
          </cell>
          <cell r="U1845">
            <v>569380</v>
          </cell>
          <cell r="W1845" t="str">
            <v>GQS</v>
          </cell>
          <cell r="Z1845">
            <v>656541</v>
          </cell>
          <cell r="AB1845" t="str">
            <v>PANEL</v>
          </cell>
        </row>
        <row r="1846">
          <cell r="S1846">
            <v>43061</v>
          </cell>
          <cell r="T1846">
            <v>21000</v>
          </cell>
          <cell r="U1846">
            <v>297604</v>
          </cell>
          <cell r="W1846" t="str">
            <v>GQS</v>
          </cell>
          <cell r="Z1846">
            <v>361665</v>
          </cell>
          <cell r="AB1846" t="str">
            <v>MAIN_UNIT</v>
          </cell>
        </row>
        <row r="1847">
          <cell r="S1847">
            <v>51673</v>
          </cell>
          <cell r="T1847">
            <v>48300</v>
          </cell>
          <cell r="U1847">
            <v>105000</v>
          </cell>
          <cell r="W1847" t="str">
            <v>GQS</v>
          </cell>
          <cell r="Z1847">
            <v>204973</v>
          </cell>
          <cell r="AB1847" t="str">
            <v>PART_KIT</v>
          </cell>
        </row>
        <row r="1848">
          <cell r="S1848">
            <v>43061</v>
          </cell>
          <cell r="T1848">
            <v>27300</v>
          </cell>
          <cell r="U1848">
            <v>0</v>
          </cell>
          <cell r="W1848" t="str">
            <v>GQS</v>
          </cell>
          <cell r="Z1848">
            <v>70361</v>
          </cell>
        </row>
        <row r="1849">
          <cell r="S1849">
            <v>51673</v>
          </cell>
          <cell r="T1849">
            <v>48300</v>
          </cell>
          <cell r="U1849">
            <v>105000</v>
          </cell>
          <cell r="W1849" t="str">
            <v>GQS</v>
          </cell>
          <cell r="Z1849">
            <v>204973</v>
          </cell>
          <cell r="AB1849" t="str">
            <v>PART_KIT</v>
          </cell>
        </row>
        <row r="1850">
          <cell r="S1850">
            <v>86122</v>
          </cell>
          <cell r="T1850">
            <v>21000</v>
          </cell>
          <cell r="U1850">
            <v>0</v>
          </cell>
          <cell r="W1850" t="str">
            <v>GQS</v>
          </cell>
          <cell r="Z1850">
            <v>107122</v>
          </cell>
        </row>
        <row r="1851">
          <cell r="S1851">
            <v>43061</v>
          </cell>
          <cell r="T1851">
            <v>2100</v>
          </cell>
          <cell r="U1851">
            <v>969798</v>
          </cell>
          <cell r="W1851" t="str">
            <v>GQS</v>
          </cell>
          <cell r="Z1851">
            <v>1014959</v>
          </cell>
          <cell r="AB1851" t="str">
            <v>PANEL</v>
          </cell>
        </row>
        <row r="1852">
          <cell r="S1852">
            <v>43061</v>
          </cell>
          <cell r="T1852">
            <v>8400</v>
          </cell>
          <cell r="U1852">
            <v>297604</v>
          </cell>
          <cell r="W1852" t="str">
            <v>GQS</v>
          </cell>
          <cell r="Z1852">
            <v>349065</v>
          </cell>
          <cell r="AB1852" t="str">
            <v>MAIN_UNIT</v>
          </cell>
        </row>
        <row r="1853">
          <cell r="S1853">
            <v>34449</v>
          </cell>
          <cell r="T1853">
            <v>71400</v>
          </cell>
          <cell r="U1853">
            <v>12469</v>
          </cell>
          <cell r="W1853" t="str">
            <v>GQS</v>
          </cell>
          <cell r="Z1853">
            <v>118318</v>
          </cell>
          <cell r="AB1853" t="str">
            <v>REMOTE_CONTROL</v>
          </cell>
        </row>
        <row r="1854">
          <cell r="S1854">
            <v>17224</v>
          </cell>
          <cell r="T1854">
            <v>63000</v>
          </cell>
          <cell r="U1854">
            <v>0</v>
          </cell>
          <cell r="W1854" t="str">
            <v>GQS</v>
          </cell>
          <cell r="Z1854">
            <v>80224</v>
          </cell>
        </row>
        <row r="1855">
          <cell r="S1855">
            <v>25837</v>
          </cell>
          <cell r="T1855">
            <v>58800</v>
          </cell>
          <cell r="U1855">
            <v>0</v>
          </cell>
          <cell r="W1855" t="str">
            <v>GQS</v>
          </cell>
          <cell r="Z1855">
            <v>84637</v>
          </cell>
        </row>
        <row r="1856">
          <cell r="S1856">
            <v>43061</v>
          </cell>
          <cell r="T1856">
            <v>10500</v>
          </cell>
          <cell r="U1856">
            <v>809835</v>
          </cell>
          <cell r="W1856" t="str">
            <v>GQS</v>
          </cell>
          <cell r="Z1856">
            <v>863396</v>
          </cell>
          <cell r="AB1856" t="str">
            <v>PANEL</v>
          </cell>
        </row>
        <row r="1857">
          <cell r="S1857">
            <v>43061</v>
          </cell>
          <cell r="T1857">
            <v>8400</v>
          </cell>
          <cell r="U1857">
            <v>0</v>
          </cell>
          <cell r="W1857" t="str">
            <v>GQS</v>
          </cell>
          <cell r="Z1857">
            <v>51461</v>
          </cell>
        </row>
        <row r="1858">
          <cell r="S1858">
            <v>60285</v>
          </cell>
          <cell r="T1858">
            <v>31500</v>
          </cell>
          <cell r="U1858">
            <v>12469</v>
          </cell>
          <cell r="W1858" t="str">
            <v>GQS</v>
          </cell>
          <cell r="Z1858">
            <v>104254</v>
          </cell>
          <cell r="AB1858" t="str">
            <v>REMOTE_CONTROL</v>
          </cell>
        </row>
        <row r="1859">
          <cell r="S1859">
            <v>25837</v>
          </cell>
          <cell r="T1859">
            <v>16800</v>
          </cell>
          <cell r="U1859">
            <v>0</v>
          </cell>
          <cell r="W1859" t="str">
            <v>GQS</v>
          </cell>
          <cell r="Z1859">
            <v>42637</v>
          </cell>
        </row>
        <row r="1860">
          <cell r="S1860">
            <v>34449</v>
          </cell>
          <cell r="T1860">
            <v>21000</v>
          </cell>
          <cell r="U1860">
            <v>0</v>
          </cell>
          <cell r="W1860" t="str">
            <v>GQS</v>
          </cell>
          <cell r="Z1860">
            <v>55449</v>
          </cell>
        </row>
        <row r="1861">
          <cell r="S1861">
            <v>25837</v>
          </cell>
          <cell r="T1861">
            <v>4200</v>
          </cell>
          <cell r="U1861">
            <v>0</v>
          </cell>
          <cell r="W1861" t="str">
            <v>GQS</v>
          </cell>
          <cell r="Z1861">
            <v>30037</v>
          </cell>
        </row>
        <row r="1862">
          <cell r="S1862">
            <v>43061</v>
          </cell>
          <cell r="T1862">
            <v>52500</v>
          </cell>
          <cell r="U1862">
            <v>0</v>
          </cell>
          <cell r="W1862" t="str">
            <v>GQS</v>
          </cell>
          <cell r="Z1862">
            <v>95561</v>
          </cell>
        </row>
        <row r="1863">
          <cell r="S1863">
            <v>25837</v>
          </cell>
          <cell r="T1863">
            <v>8400</v>
          </cell>
          <cell r="U1863">
            <v>0</v>
          </cell>
          <cell r="W1863" t="str">
            <v>GQS</v>
          </cell>
          <cell r="Z1863">
            <v>34237</v>
          </cell>
        </row>
        <row r="1864">
          <cell r="S1864">
            <v>43061</v>
          </cell>
          <cell r="T1864">
            <v>21000</v>
          </cell>
          <cell r="U1864">
            <v>297604</v>
          </cell>
          <cell r="W1864" t="str">
            <v>GQS</v>
          </cell>
          <cell r="Z1864">
            <v>361665</v>
          </cell>
          <cell r="AB1864" t="str">
            <v>MAIN_UNIT</v>
          </cell>
        </row>
        <row r="1865">
          <cell r="S1865">
            <v>34449</v>
          </cell>
          <cell r="T1865">
            <v>50400</v>
          </cell>
          <cell r="U1865">
            <v>0</v>
          </cell>
          <cell r="W1865" t="str">
            <v>GQS</v>
          </cell>
          <cell r="Z1865">
            <v>84849</v>
          </cell>
        </row>
        <row r="1866">
          <cell r="S1866">
            <v>43061</v>
          </cell>
          <cell r="T1866">
            <v>31500</v>
          </cell>
          <cell r="U1866">
            <v>969798</v>
          </cell>
          <cell r="W1866" t="str">
            <v>GQS</v>
          </cell>
          <cell r="Z1866">
            <v>1044359</v>
          </cell>
          <cell r="AB1866" t="str">
            <v>PANEL</v>
          </cell>
        </row>
        <row r="1867">
          <cell r="S1867">
            <v>25837</v>
          </cell>
          <cell r="T1867">
            <v>63000</v>
          </cell>
          <cell r="U1867">
            <v>12469</v>
          </cell>
          <cell r="W1867" t="str">
            <v>GQS</v>
          </cell>
          <cell r="Z1867">
            <v>101306</v>
          </cell>
          <cell r="AB1867" t="str">
            <v>REMOTE_CONTROL</v>
          </cell>
        </row>
        <row r="1868">
          <cell r="S1868">
            <v>25837</v>
          </cell>
          <cell r="T1868">
            <v>63000</v>
          </cell>
          <cell r="U1868">
            <v>0</v>
          </cell>
          <cell r="W1868" t="str">
            <v>GQS</v>
          </cell>
          <cell r="Z1868">
            <v>88837</v>
          </cell>
        </row>
        <row r="1869">
          <cell r="S1869">
            <v>25837</v>
          </cell>
          <cell r="T1869">
            <v>6300</v>
          </cell>
          <cell r="U1869">
            <v>0</v>
          </cell>
          <cell r="W1869" t="str">
            <v>GQS</v>
          </cell>
          <cell r="Z1869">
            <v>32137</v>
          </cell>
        </row>
        <row r="1870">
          <cell r="S1870">
            <v>25837</v>
          </cell>
          <cell r="T1870">
            <v>12600</v>
          </cell>
          <cell r="U1870">
            <v>297603</v>
          </cell>
          <cell r="W1870" t="str">
            <v>GQS</v>
          </cell>
          <cell r="Z1870">
            <v>336040</v>
          </cell>
          <cell r="AB1870" t="str">
            <v>MAIN_UNIT</v>
          </cell>
        </row>
        <row r="1871">
          <cell r="S1871">
            <v>68898</v>
          </cell>
          <cell r="T1871">
            <v>73500</v>
          </cell>
          <cell r="U1871">
            <v>0</v>
          </cell>
          <cell r="W1871" t="str">
            <v>GQS</v>
          </cell>
          <cell r="Z1871">
            <v>142398</v>
          </cell>
        </row>
        <row r="1872">
          <cell r="S1872">
            <v>43061</v>
          </cell>
          <cell r="T1872">
            <v>21000</v>
          </cell>
          <cell r="U1872">
            <v>102457</v>
          </cell>
          <cell r="W1872" t="str">
            <v>GQS</v>
          </cell>
          <cell r="Z1872">
            <v>166518</v>
          </cell>
          <cell r="AB1872" t="str">
            <v>REMOTE_CONTROL</v>
          </cell>
        </row>
        <row r="1873">
          <cell r="S1873">
            <v>43061</v>
          </cell>
          <cell r="T1873">
            <v>44100</v>
          </cell>
          <cell r="U1873">
            <v>490572</v>
          </cell>
          <cell r="W1873" t="str">
            <v>GQS</v>
          </cell>
          <cell r="Z1873">
            <v>577733</v>
          </cell>
          <cell r="AB1873" t="str">
            <v>POWER_UNIT</v>
          </cell>
        </row>
        <row r="1874">
          <cell r="S1874">
            <v>86122</v>
          </cell>
          <cell r="T1874">
            <v>126000</v>
          </cell>
          <cell r="U1874">
            <v>102457</v>
          </cell>
          <cell r="W1874" t="str">
            <v>GQS</v>
          </cell>
          <cell r="Z1874">
            <v>314579</v>
          </cell>
          <cell r="AB1874" t="str">
            <v>REMOTE_CONTROL</v>
          </cell>
        </row>
        <row r="1875">
          <cell r="S1875">
            <v>43061</v>
          </cell>
          <cell r="T1875">
            <v>16800</v>
          </cell>
          <cell r="U1875">
            <v>0</v>
          </cell>
          <cell r="W1875" t="str">
            <v>GQS</v>
          </cell>
          <cell r="Z1875">
            <v>59861</v>
          </cell>
        </row>
        <row r="1876">
          <cell r="S1876">
            <v>43061</v>
          </cell>
          <cell r="T1876">
            <v>21000</v>
          </cell>
          <cell r="U1876">
            <v>969798</v>
          </cell>
          <cell r="W1876" t="str">
            <v>GQS</v>
          </cell>
          <cell r="Z1876">
            <v>1033859</v>
          </cell>
          <cell r="AB1876" t="str">
            <v>PANEL</v>
          </cell>
        </row>
        <row r="1877">
          <cell r="S1877">
            <v>17224</v>
          </cell>
          <cell r="T1877">
            <v>10500</v>
          </cell>
          <cell r="U1877">
            <v>0</v>
          </cell>
          <cell r="W1877" t="str">
            <v>GQS</v>
          </cell>
          <cell r="Z1877">
            <v>27724</v>
          </cell>
        </row>
        <row r="1878">
          <cell r="S1878">
            <v>43061</v>
          </cell>
          <cell r="T1878">
            <v>18900</v>
          </cell>
          <cell r="U1878">
            <v>969798</v>
          </cell>
          <cell r="W1878" t="str">
            <v>GQS</v>
          </cell>
          <cell r="Z1878">
            <v>1031759</v>
          </cell>
          <cell r="AB1878" t="str">
            <v>PANEL</v>
          </cell>
        </row>
        <row r="1879">
          <cell r="S1879">
            <v>43061</v>
          </cell>
          <cell r="T1879">
            <v>6300</v>
          </cell>
          <cell r="U1879">
            <v>67523</v>
          </cell>
          <cell r="W1879" t="str">
            <v>GQS</v>
          </cell>
          <cell r="Z1879">
            <v>116884</v>
          </cell>
          <cell r="AB1879" t="str">
            <v>TAPE</v>
          </cell>
        </row>
        <row r="1880">
          <cell r="S1880">
            <v>17224</v>
          </cell>
          <cell r="T1880">
            <v>14700</v>
          </cell>
          <cell r="U1880">
            <v>0</v>
          </cell>
          <cell r="W1880" t="str">
            <v>GQS</v>
          </cell>
          <cell r="Z1880">
            <v>31924</v>
          </cell>
        </row>
        <row r="1881">
          <cell r="S1881">
            <v>17224</v>
          </cell>
          <cell r="T1881">
            <v>14700</v>
          </cell>
          <cell r="U1881">
            <v>0</v>
          </cell>
          <cell r="W1881" t="str">
            <v>GQS</v>
          </cell>
          <cell r="Z1881">
            <v>31924</v>
          </cell>
        </row>
        <row r="1882">
          <cell r="S1882">
            <v>17224</v>
          </cell>
          <cell r="T1882">
            <v>14700</v>
          </cell>
          <cell r="U1882">
            <v>0</v>
          </cell>
          <cell r="W1882" t="str">
            <v>GQS</v>
          </cell>
          <cell r="Z1882">
            <v>31924</v>
          </cell>
        </row>
        <row r="1883">
          <cell r="S1883">
            <v>17224</v>
          </cell>
          <cell r="T1883">
            <v>14700</v>
          </cell>
          <cell r="U1883">
            <v>0</v>
          </cell>
          <cell r="W1883" t="str">
            <v>GQS</v>
          </cell>
          <cell r="Z1883">
            <v>31924</v>
          </cell>
        </row>
        <row r="1884">
          <cell r="S1884">
            <v>17224</v>
          </cell>
          <cell r="T1884">
            <v>14700</v>
          </cell>
          <cell r="U1884">
            <v>0</v>
          </cell>
          <cell r="W1884" t="str">
            <v>GQS</v>
          </cell>
          <cell r="Z1884">
            <v>31924</v>
          </cell>
        </row>
        <row r="1885">
          <cell r="S1885">
            <v>17224</v>
          </cell>
          <cell r="T1885">
            <v>14700</v>
          </cell>
          <cell r="U1885">
            <v>0</v>
          </cell>
          <cell r="W1885" t="str">
            <v>GQS</v>
          </cell>
          <cell r="Z1885">
            <v>31924</v>
          </cell>
        </row>
        <row r="1886">
          <cell r="S1886">
            <v>25837</v>
          </cell>
          <cell r="T1886">
            <v>10500</v>
          </cell>
          <cell r="U1886">
            <v>0</v>
          </cell>
          <cell r="W1886" t="str">
            <v>GQS</v>
          </cell>
          <cell r="Z1886">
            <v>36337</v>
          </cell>
        </row>
        <row r="1887">
          <cell r="S1887">
            <v>17224</v>
          </cell>
          <cell r="T1887">
            <v>21000</v>
          </cell>
          <cell r="U1887">
            <v>0</v>
          </cell>
          <cell r="W1887" t="str">
            <v>GQS</v>
          </cell>
          <cell r="Z1887">
            <v>38224</v>
          </cell>
        </row>
        <row r="1888">
          <cell r="S1888">
            <v>17224</v>
          </cell>
          <cell r="T1888">
            <v>21000</v>
          </cell>
          <cell r="U1888">
            <v>0</v>
          </cell>
          <cell r="W1888" t="str">
            <v>GQS</v>
          </cell>
          <cell r="Z1888">
            <v>38224</v>
          </cell>
        </row>
        <row r="1889">
          <cell r="S1889">
            <v>174000</v>
          </cell>
          <cell r="T1889">
            <v>34000</v>
          </cell>
          <cell r="U1889">
            <v>572500</v>
          </cell>
          <cell r="W1889" t="str">
            <v>SASS</v>
          </cell>
          <cell r="Z1889">
            <v>780500</v>
          </cell>
          <cell r="AB1889" t="str">
            <v>MAIN_UNIT</v>
          </cell>
        </row>
        <row r="1890">
          <cell r="S1890">
            <v>174000</v>
          </cell>
          <cell r="T1890">
            <v>34000</v>
          </cell>
          <cell r="U1890">
            <v>1049501</v>
          </cell>
          <cell r="W1890" t="str">
            <v>SASS</v>
          </cell>
          <cell r="Z1890">
            <v>1257501</v>
          </cell>
          <cell r="AB1890" t="str">
            <v>PANEL</v>
          </cell>
        </row>
        <row r="1891">
          <cell r="S1891">
            <v>174000</v>
          </cell>
          <cell r="T1891">
            <v>34000</v>
          </cell>
          <cell r="U1891">
            <v>875500</v>
          </cell>
          <cell r="W1891" t="str">
            <v>SASS</v>
          </cell>
          <cell r="Z1891">
            <v>1083500</v>
          </cell>
          <cell r="AB1891" t="str">
            <v>MAIN_UNIT</v>
          </cell>
        </row>
        <row r="1892">
          <cell r="S1892">
            <v>99000</v>
          </cell>
          <cell r="T1892">
            <v>34000</v>
          </cell>
          <cell r="U1892">
            <v>0</v>
          </cell>
          <cell r="W1892" t="str">
            <v>SASS</v>
          </cell>
          <cell r="Z1892">
            <v>133000</v>
          </cell>
        </row>
        <row r="1893">
          <cell r="S1893">
            <v>99000</v>
          </cell>
          <cell r="T1893">
            <v>34000</v>
          </cell>
          <cell r="U1893">
            <v>0</v>
          </cell>
          <cell r="W1893" t="str">
            <v>SASS</v>
          </cell>
          <cell r="Z1893">
            <v>133000</v>
          </cell>
        </row>
        <row r="1894">
          <cell r="S1894">
            <v>98000</v>
          </cell>
          <cell r="T1894">
            <v>34000</v>
          </cell>
          <cell r="U1894">
            <v>0</v>
          </cell>
          <cell r="W1894" t="str">
            <v>SASS</v>
          </cell>
          <cell r="Z1894">
            <v>132000</v>
          </cell>
        </row>
        <row r="1895">
          <cell r="S1895">
            <v>99000</v>
          </cell>
          <cell r="T1895">
            <v>34000</v>
          </cell>
          <cell r="U1895">
            <v>0</v>
          </cell>
          <cell r="W1895" t="str">
            <v>SASS</v>
          </cell>
          <cell r="Z1895">
            <v>133000</v>
          </cell>
        </row>
        <row r="1896">
          <cell r="S1896">
            <v>174000</v>
          </cell>
          <cell r="T1896">
            <v>34000</v>
          </cell>
          <cell r="U1896">
            <v>1420000</v>
          </cell>
          <cell r="W1896" t="str">
            <v>SASS</v>
          </cell>
          <cell r="Z1896">
            <v>1628000</v>
          </cell>
          <cell r="AB1896" t="str">
            <v>MAIN_UNIT</v>
          </cell>
        </row>
        <row r="1897">
          <cell r="S1897">
            <v>99000</v>
          </cell>
          <cell r="T1897">
            <v>34000</v>
          </cell>
          <cell r="U1897">
            <v>0</v>
          </cell>
          <cell r="W1897" t="str">
            <v>SASS</v>
          </cell>
          <cell r="Z1897">
            <v>133000</v>
          </cell>
        </row>
        <row r="1898">
          <cell r="S1898">
            <v>153000</v>
          </cell>
          <cell r="T1898">
            <v>34000</v>
          </cell>
          <cell r="U1898">
            <v>875500</v>
          </cell>
          <cell r="W1898" t="str">
            <v>SASS</v>
          </cell>
          <cell r="Z1898">
            <v>1062500</v>
          </cell>
          <cell r="AB1898" t="str">
            <v>MAIN_UNIT</v>
          </cell>
        </row>
        <row r="1899">
          <cell r="S1899">
            <v>174000</v>
          </cell>
          <cell r="T1899">
            <v>34000</v>
          </cell>
          <cell r="U1899">
            <v>499001</v>
          </cell>
          <cell r="W1899" t="str">
            <v>SASS</v>
          </cell>
          <cell r="Z1899">
            <v>707001</v>
          </cell>
          <cell r="AB1899" t="str">
            <v>MAIN_UNIT</v>
          </cell>
        </row>
        <row r="1900">
          <cell r="S1900">
            <v>174000</v>
          </cell>
          <cell r="T1900">
            <v>34000</v>
          </cell>
          <cell r="U1900">
            <v>34500</v>
          </cell>
          <cell r="W1900" t="str">
            <v>SASS</v>
          </cell>
          <cell r="Z1900">
            <v>242500</v>
          </cell>
          <cell r="AB1900" t="str">
            <v>AC_CORD</v>
          </cell>
        </row>
        <row r="1901">
          <cell r="S1901">
            <v>174000</v>
          </cell>
          <cell r="T1901">
            <v>34000</v>
          </cell>
          <cell r="U1901">
            <v>1978500</v>
          </cell>
          <cell r="W1901" t="str">
            <v>SASS</v>
          </cell>
          <cell r="Z1901">
            <v>2186500</v>
          </cell>
          <cell r="AB1901" t="str">
            <v>MAIN_UNIT</v>
          </cell>
        </row>
        <row r="1902">
          <cell r="S1902">
            <v>99000</v>
          </cell>
          <cell r="T1902">
            <v>34000</v>
          </cell>
          <cell r="U1902">
            <v>0</v>
          </cell>
          <cell r="W1902" t="str">
            <v>SASS</v>
          </cell>
          <cell r="Z1902">
            <v>133000</v>
          </cell>
        </row>
        <row r="1903">
          <cell r="S1903">
            <v>174000</v>
          </cell>
          <cell r="T1903">
            <v>34000</v>
          </cell>
          <cell r="U1903">
            <v>0</v>
          </cell>
          <cell r="W1903" t="str">
            <v>SASS</v>
          </cell>
          <cell r="Z1903">
            <v>208000</v>
          </cell>
        </row>
        <row r="1904">
          <cell r="S1904">
            <v>174000</v>
          </cell>
          <cell r="T1904">
            <v>34000</v>
          </cell>
          <cell r="U1904">
            <v>1420000</v>
          </cell>
          <cell r="W1904" t="str">
            <v>SASS</v>
          </cell>
          <cell r="Z1904">
            <v>1628000</v>
          </cell>
          <cell r="AB1904" t="str">
            <v>MAIN_UNIT</v>
          </cell>
        </row>
        <row r="1905">
          <cell r="S1905">
            <v>237000</v>
          </cell>
          <cell r="T1905">
            <v>34000</v>
          </cell>
          <cell r="U1905">
            <v>263000</v>
          </cell>
          <cell r="W1905" t="str">
            <v>SASS</v>
          </cell>
          <cell r="Z1905">
            <v>534000</v>
          </cell>
          <cell r="AB1905" t="str">
            <v>POWER_UNIT</v>
          </cell>
        </row>
        <row r="1906">
          <cell r="S1906">
            <v>99000</v>
          </cell>
          <cell r="T1906">
            <v>34000</v>
          </cell>
          <cell r="U1906">
            <v>0</v>
          </cell>
          <cell r="W1906" t="str">
            <v>SASS</v>
          </cell>
          <cell r="Z1906">
            <v>133000</v>
          </cell>
        </row>
        <row r="1907">
          <cell r="S1907">
            <v>174000</v>
          </cell>
          <cell r="T1907">
            <v>34000</v>
          </cell>
          <cell r="U1907">
            <v>2483000</v>
          </cell>
          <cell r="W1907" t="str">
            <v>SASS</v>
          </cell>
          <cell r="Z1907">
            <v>2691000</v>
          </cell>
          <cell r="AB1907" t="str">
            <v>PANEL</v>
          </cell>
        </row>
        <row r="1908">
          <cell r="S1908">
            <v>65000</v>
          </cell>
          <cell r="T1908">
            <v>34000</v>
          </cell>
          <cell r="U1908">
            <v>463500</v>
          </cell>
          <cell r="W1908" t="str">
            <v>SASS</v>
          </cell>
          <cell r="Z1908">
            <v>562500</v>
          </cell>
          <cell r="AB1908" t="str">
            <v>MAIN_UNIT</v>
          </cell>
        </row>
        <row r="1909">
          <cell r="S1909">
            <v>174000</v>
          </cell>
          <cell r="T1909">
            <v>34000</v>
          </cell>
          <cell r="U1909">
            <v>1420000</v>
          </cell>
          <cell r="W1909" t="str">
            <v>SASS</v>
          </cell>
          <cell r="Z1909">
            <v>1628000</v>
          </cell>
          <cell r="AB1909" t="str">
            <v>MAIN_UNIT</v>
          </cell>
        </row>
        <row r="1910">
          <cell r="S1910">
            <v>0</v>
          </cell>
          <cell r="T1910">
            <v>0</v>
          </cell>
          <cell r="U1910">
            <v>1049501</v>
          </cell>
          <cell r="W1910" t="str">
            <v>SASS</v>
          </cell>
          <cell r="Z1910">
            <v>1049501</v>
          </cell>
          <cell r="AB1910" t="str">
            <v>PANEL</v>
          </cell>
        </row>
        <row r="1911">
          <cell r="S1911">
            <v>174000</v>
          </cell>
          <cell r="T1911">
            <v>34000</v>
          </cell>
          <cell r="U1911">
            <v>1049501</v>
          </cell>
          <cell r="W1911" t="str">
            <v>SASS</v>
          </cell>
          <cell r="Z1911">
            <v>1257501</v>
          </cell>
          <cell r="AB1911" t="str">
            <v>PANEL</v>
          </cell>
        </row>
        <row r="1912">
          <cell r="S1912">
            <v>0</v>
          </cell>
          <cell r="T1912">
            <v>0</v>
          </cell>
          <cell r="U1912">
            <v>808000</v>
          </cell>
          <cell r="W1912" t="str">
            <v>SASS</v>
          </cell>
          <cell r="Z1912">
            <v>808000</v>
          </cell>
          <cell r="AB1912" t="str">
            <v>MAIN_UNIT</v>
          </cell>
        </row>
        <row r="1913">
          <cell r="S1913">
            <v>174000</v>
          </cell>
          <cell r="T1913">
            <v>34000</v>
          </cell>
          <cell r="U1913">
            <v>1323000</v>
          </cell>
          <cell r="W1913" t="str">
            <v>SASS</v>
          </cell>
          <cell r="Z1913">
            <v>1531000</v>
          </cell>
          <cell r="AB1913" t="str">
            <v>PANEL</v>
          </cell>
        </row>
        <row r="1914">
          <cell r="S1914">
            <v>0</v>
          </cell>
          <cell r="T1914">
            <v>0</v>
          </cell>
          <cell r="U1914">
            <v>162000</v>
          </cell>
          <cell r="W1914" t="str">
            <v>SASS</v>
          </cell>
          <cell r="Z1914">
            <v>162000</v>
          </cell>
          <cell r="AB1914" t="str">
            <v>TAPE</v>
          </cell>
        </row>
        <row r="1915">
          <cell r="S1915">
            <v>174000</v>
          </cell>
          <cell r="T1915">
            <v>34000</v>
          </cell>
          <cell r="U1915">
            <v>1323000</v>
          </cell>
          <cell r="W1915" t="str">
            <v>SASS</v>
          </cell>
          <cell r="Z1915">
            <v>1531000</v>
          </cell>
          <cell r="AB1915" t="str">
            <v>PANEL</v>
          </cell>
        </row>
        <row r="1916">
          <cell r="S1916">
            <v>0</v>
          </cell>
          <cell r="T1916">
            <v>0</v>
          </cell>
          <cell r="U1916">
            <v>162000</v>
          </cell>
          <cell r="W1916" t="str">
            <v>SASS</v>
          </cell>
          <cell r="Z1916">
            <v>162000</v>
          </cell>
          <cell r="AB1916" t="str">
            <v>TAPE</v>
          </cell>
        </row>
        <row r="1917">
          <cell r="S1917">
            <v>174000</v>
          </cell>
          <cell r="T1917">
            <v>34000</v>
          </cell>
          <cell r="U1917">
            <v>808000</v>
          </cell>
          <cell r="W1917" t="str">
            <v>SASS</v>
          </cell>
          <cell r="Z1917">
            <v>1016000</v>
          </cell>
          <cell r="AB1917" t="str">
            <v>MAIN_UNIT</v>
          </cell>
        </row>
        <row r="1918">
          <cell r="S1918">
            <v>0</v>
          </cell>
          <cell r="T1918">
            <v>0</v>
          </cell>
          <cell r="U1918">
            <v>144000</v>
          </cell>
          <cell r="W1918" t="str">
            <v>SASS</v>
          </cell>
          <cell r="Z1918">
            <v>144000</v>
          </cell>
          <cell r="AB1918" t="str">
            <v>WIFI_UNIT</v>
          </cell>
        </row>
        <row r="1919">
          <cell r="S1919">
            <v>174000</v>
          </cell>
          <cell r="T1919">
            <v>34000</v>
          </cell>
          <cell r="U1919">
            <v>0</v>
          </cell>
          <cell r="W1919" t="str">
            <v>SASS</v>
          </cell>
          <cell r="Z1919">
            <v>208000</v>
          </cell>
        </row>
        <row r="1920">
          <cell r="S1920">
            <v>99000</v>
          </cell>
          <cell r="T1920">
            <v>34000</v>
          </cell>
          <cell r="U1920">
            <v>0</v>
          </cell>
          <cell r="W1920" t="str">
            <v>SASS</v>
          </cell>
          <cell r="Z1920">
            <v>133000</v>
          </cell>
        </row>
        <row r="1921">
          <cell r="S1921">
            <v>174000</v>
          </cell>
          <cell r="T1921">
            <v>34000</v>
          </cell>
          <cell r="U1921">
            <v>1049501</v>
          </cell>
          <cell r="W1921" t="str">
            <v>SASS</v>
          </cell>
          <cell r="Z1921">
            <v>1257501</v>
          </cell>
          <cell r="AB1921" t="str">
            <v>PANEL</v>
          </cell>
        </row>
        <row r="1922">
          <cell r="S1922">
            <v>153000</v>
          </cell>
          <cell r="T1922">
            <v>34000</v>
          </cell>
          <cell r="U1922">
            <v>704000</v>
          </cell>
          <cell r="W1922" t="str">
            <v>SASS</v>
          </cell>
          <cell r="Z1922">
            <v>891000</v>
          </cell>
          <cell r="AB1922" t="str">
            <v>PANEL</v>
          </cell>
        </row>
        <row r="1923">
          <cell r="S1923">
            <v>174000</v>
          </cell>
          <cell r="T1923">
            <v>34000</v>
          </cell>
          <cell r="U1923">
            <v>244000</v>
          </cell>
          <cell r="W1923" t="str">
            <v>SASS</v>
          </cell>
          <cell r="Z1923">
            <v>452000</v>
          </cell>
          <cell r="AB1923" t="str">
            <v>REMOTE_CONTROL</v>
          </cell>
        </row>
        <row r="1924">
          <cell r="S1924">
            <v>174000</v>
          </cell>
          <cell r="T1924">
            <v>34000</v>
          </cell>
          <cell r="U1924">
            <v>808000</v>
          </cell>
          <cell r="W1924" t="str">
            <v>SASS</v>
          </cell>
          <cell r="Z1924">
            <v>1016000</v>
          </cell>
          <cell r="AB1924" t="str">
            <v>MAIN_UNIT</v>
          </cell>
        </row>
        <row r="1925">
          <cell r="S1925">
            <v>174000</v>
          </cell>
          <cell r="T1925">
            <v>34000</v>
          </cell>
          <cell r="U1925">
            <v>0</v>
          </cell>
          <cell r="W1925" t="str">
            <v>SASS</v>
          </cell>
          <cell r="Z1925">
            <v>208000</v>
          </cell>
        </row>
        <row r="1926">
          <cell r="S1926">
            <v>98000</v>
          </cell>
          <cell r="T1926">
            <v>34000</v>
          </cell>
          <cell r="U1926">
            <v>0</v>
          </cell>
          <cell r="W1926" t="str">
            <v>SASS</v>
          </cell>
          <cell r="Z1926">
            <v>132000</v>
          </cell>
        </row>
        <row r="1927">
          <cell r="S1927">
            <v>174000</v>
          </cell>
          <cell r="T1927">
            <v>34000</v>
          </cell>
          <cell r="U1927">
            <v>0</v>
          </cell>
          <cell r="W1927" t="str">
            <v>SASS</v>
          </cell>
          <cell r="Z1927">
            <v>208000</v>
          </cell>
        </row>
        <row r="1928">
          <cell r="S1928">
            <v>174000</v>
          </cell>
          <cell r="T1928">
            <v>34000</v>
          </cell>
          <cell r="U1928">
            <v>572500</v>
          </cell>
          <cell r="W1928" t="str">
            <v>SASS</v>
          </cell>
          <cell r="Z1928">
            <v>780500</v>
          </cell>
          <cell r="AB1928" t="str">
            <v>MAIN_UNIT</v>
          </cell>
        </row>
        <row r="1929">
          <cell r="S1929">
            <v>99000</v>
          </cell>
          <cell r="T1929">
            <v>34000</v>
          </cell>
          <cell r="U1929">
            <v>0</v>
          </cell>
          <cell r="W1929" t="str">
            <v>SASS</v>
          </cell>
          <cell r="Z1929">
            <v>133000</v>
          </cell>
        </row>
        <row r="1930">
          <cell r="S1930">
            <v>174000</v>
          </cell>
          <cell r="T1930">
            <v>34000</v>
          </cell>
          <cell r="U1930">
            <v>0</v>
          </cell>
          <cell r="W1930" t="str">
            <v>SASS</v>
          </cell>
          <cell r="Z1930">
            <v>208000</v>
          </cell>
        </row>
        <row r="1931">
          <cell r="S1931">
            <v>98000</v>
          </cell>
          <cell r="T1931">
            <v>34000</v>
          </cell>
          <cell r="U1931">
            <v>0</v>
          </cell>
          <cell r="W1931" t="str">
            <v>SASS</v>
          </cell>
          <cell r="Z1931">
            <v>132000</v>
          </cell>
        </row>
        <row r="1932">
          <cell r="S1932">
            <v>0</v>
          </cell>
          <cell r="T1932">
            <v>0</v>
          </cell>
          <cell r="U1932">
            <v>2483000</v>
          </cell>
          <cell r="W1932" t="str">
            <v>SASS</v>
          </cell>
          <cell r="Z1932">
            <v>2483000</v>
          </cell>
          <cell r="AB1932" t="str">
            <v>PANEL</v>
          </cell>
        </row>
        <row r="1933">
          <cell r="S1933">
            <v>98000</v>
          </cell>
          <cell r="T1933">
            <v>34000</v>
          </cell>
          <cell r="U1933">
            <v>0</v>
          </cell>
          <cell r="W1933" t="str">
            <v>SASS</v>
          </cell>
          <cell r="Z1933">
            <v>132000</v>
          </cell>
        </row>
        <row r="1934">
          <cell r="S1934">
            <v>153000</v>
          </cell>
          <cell r="T1934">
            <v>34000</v>
          </cell>
          <cell r="U1934">
            <v>534501</v>
          </cell>
          <cell r="W1934" t="str">
            <v>SASS</v>
          </cell>
          <cell r="Z1934">
            <v>721501</v>
          </cell>
          <cell r="AB1934" t="str">
            <v>MAIN_UNIT</v>
          </cell>
        </row>
        <row r="1935">
          <cell r="S1935">
            <v>99000</v>
          </cell>
          <cell r="T1935">
            <v>34000</v>
          </cell>
          <cell r="U1935">
            <v>0</v>
          </cell>
          <cell r="W1935" t="str">
            <v>SASS</v>
          </cell>
          <cell r="Z1935">
            <v>133000</v>
          </cell>
        </row>
        <row r="1936">
          <cell r="S1936">
            <v>99000</v>
          </cell>
          <cell r="T1936">
            <v>34000</v>
          </cell>
          <cell r="U1936">
            <v>0</v>
          </cell>
          <cell r="W1936" t="str">
            <v>SASS</v>
          </cell>
          <cell r="Z1936">
            <v>133000</v>
          </cell>
        </row>
        <row r="1937">
          <cell r="S1937">
            <v>98000</v>
          </cell>
          <cell r="T1937">
            <v>34000</v>
          </cell>
          <cell r="U1937">
            <v>0</v>
          </cell>
          <cell r="W1937" t="str">
            <v>SASS</v>
          </cell>
          <cell r="Z1937">
            <v>132000</v>
          </cell>
        </row>
        <row r="1938">
          <cell r="S1938">
            <v>153000</v>
          </cell>
          <cell r="T1938">
            <v>34000</v>
          </cell>
          <cell r="U1938">
            <v>0</v>
          </cell>
          <cell r="W1938" t="str">
            <v>SASS</v>
          </cell>
          <cell r="Z1938">
            <v>187000</v>
          </cell>
        </row>
        <row r="1939">
          <cell r="S1939">
            <v>98000</v>
          </cell>
          <cell r="T1939">
            <v>34000</v>
          </cell>
          <cell r="U1939">
            <v>0</v>
          </cell>
          <cell r="W1939" t="str">
            <v>SASS</v>
          </cell>
          <cell r="Z1939">
            <v>132000</v>
          </cell>
        </row>
        <row r="1940">
          <cell r="S1940">
            <v>99000</v>
          </cell>
          <cell r="T1940">
            <v>34000</v>
          </cell>
          <cell r="U1940">
            <v>0</v>
          </cell>
          <cell r="W1940" t="str">
            <v>SASS</v>
          </cell>
          <cell r="Z1940">
            <v>133000</v>
          </cell>
        </row>
        <row r="1941">
          <cell r="S1941">
            <v>153000</v>
          </cell>
          <cell r="T1941">
            <v>34000</v>
          </cell>
          <cell r="U1941">
            <v>534501</v>
          </cell>
          <cell r="W1941" t="str">
            <v>SASS</v>
          </cell>
          <cell r="Z1941">
            <v>721501</v>
          </cell>
          <cell r="AB1941" t="str">
            <v>MAIN_UNIT</v>
          </cell>
        </row>
        <row r="1942">
          <cell r="S1942">
            <v>174000</v>
          </cell>
          <cell r="T1942">
            <v>34000</v>
          </cell>
          <cell r="U1942">
            <v>875500</v>
          </cell>
          <cell r="W1942" t="str">
            <v>SASS</v>
          </cell>
          <cell r="Z1942">
            <v>1083500</v>
          </cell>
          <cell r="AB1942" t="str">
            <v>MAIN_UNIT</v>
          </cell>
        </row>
        <row r="1943">
          <cell r="S1943">
            <v>174000</v>
          </cell>
          <cell r="T1943">
            <v>34000</v>
          </cell>
          <cell r="U1943">
            <v>2659500</v>
          </cell>
          <cell r="W1943" t="str">
            <v>SASS</v>
          </cell>
          <cell r="Z1943">
            <v>2867500</v>
          </cell>
          <cell r="AB1943" t="str">
            <v>PANEL</v>
          </cell>
        </row>
        <row r="1944">
          <cell r="S1944">
            <v>174000</v>
          </cell>
          <cell r="T1944">
            <v>34000</v>
          </cell>
          <cell r="U1944">
            <v>1323000</v>
          </cell>
          <cell r="W1944" t="str">
            <v>SASS</v>
          </cell>
          <cell r="Z1944">
            <v>1531000</v>
          </cell>
          <cell r="AB1944" t="str">
            <v>MAIN_UNIT</v>
          </cell>
        </row>
        <row r="1945">
          <cell r="S1945">
            <v>174000</v>
          </cell>
          <cell r="T1945">
            <v>34000</v>
          </cell>
          <cell r="U1945">
            <v>1323000</v>
          </cell>
          <cell r="W1945" t="str">
            <v>SASS</v>
          </cell>
          <cell r="Z1945">
            <v>1531000</v>
          </cell>
          <cell r="AB1945" t="str">
            <v>PANEL</v>
          </cell>
        </row>
        <row r="1946">
          <cell r="S1946">
            <v>0</v>
          </cell>
          <cell r="T1946">
            <v>0</v>
          </cell>
          <cell r="U1946">
            <v>162000</v>
          </cell>
          <cell r="W1946" t="str">
            <v>SASS</v>
          </cell>
          <cell r="Z1946">
            <v>162000</v>
          </cell>
          <cell r="AB1946" t="str">
            <v>TAPE</v>
          </cell>
        </row>
        <row r="1947">
          <cell r="S1947">
            <v>153000</v>
          </cell>
          <cell r="T1947">
            <v>34000</v>
          </cell>
          <cell r="U1947">
            <v>1049501</v>
          </cell>
          <cell r="W1947" t="str">
            <v>SASS</v>
          </cell>
          <cell r="Z1947">
            <v>1236501</v>
          </cell>
          <cell r="AB1947" t="str">
            <v>PANEL</v>
          </cell>
        </row>
        <row r="1948">
          <cell r="S1948">
            <v>0</v>
          </cell>
          <cell r="T1948">
            <v>0</v>
          </cell>
          <cell r="U1948">
            <v>65500</v>
          </cell>
          <cell r="W1948" t="str">
            <v>SASS</v>
          </cell>
          <cell r="Z1948">
            <v>65500</v>
          </cell>
          <cell r="AB1948" t="str">
            <v>LVDS_WIRE</v>
          </cell>
        </row>
        <row r="1949">
          <cell r="S1949">
            <v>0</v>
          </cell>
          <cell r="T1949">
            <v>0</v>
          </cell>
          <cell r="U1949">
            <v>34000</v>
          </cell>
          <cell r="W1949" t="str">
            <v>SASS</v>
          </cell>
          <cell r="Z1949">
            <v>34000</v>
          </cell>
          <cell r="AB1949" t="str">
            <v>LVDS_WIRE</v>
          </cell>
        </row>
        <row r="1950">
          <cell r="S1950">
            <v>174000</v>
          </cell>
          <cell r="T1950">
            <v>34000</v>
          </cell>
          <cell r="U1950">
            <v>2483000</v>
          </cell>
          <cell r="W1950" t="str">
            <v>SASS</v>
          </cell>
          <cell r="Z1950">
            <v>2691000</v>
          </cell>
          <cell r="AB1950" t="str">
            <v>PANEL</v>
          </cell>
        </row>
        <row r="1951">
          <cell r="S1951">
            <v>0</v>
          </cell>
          <cell r="T1951">
            <v>0</v>
          </cell>
          <cell r="U1951">
            <v>188500</v>
          </cell>
          <cell r="W1951" t="str">
            <v>SASS</v>
          </cell>
          <cell r="Z1951">
            <v>188500</v>
          </cell>
          <cell r="AB1951" t="str">
            <v>TCON_UNIT</v>
          </cell>
        </row>
        <row r="1952">
          <cell r="S1952">
            <v>0</v>
          </cell>
          <cell r="T1952">
            <v>0</v>
          </cell>
          <cell r="U1952">
            <v>324000</v>
          </cell>
          <cell r="W1952" t="str">
            <v>SASS</v>
          </cell>
          <cell r="Z1952">
            <v>324000</v>
          </cell>
          <cell r="AB1952" t="str">
            <v>TAPE</v>
          </cell>
        </row>
        <row r="1953">
          <cell r="S1953">
            <v>174000</v>
          </cell>
          <cell r="T1953">
            <v>34000</v>
          </cell>
          <cell r="U1953">
            <v>1049501</v>
          </cell>
          <cell r="W1953" t="str">
            <v>SASS</v>
          </cell>
          <cell r="Z1953">
            <v>1257501</v>
          </cell>
          <cell r="AB1953" t="str">
            <v>PANEL</v>
          </cell>
        </row>
        <row r="1954">
          <cell r="S1954">
            <v>0</v>
          </cell>
          <cell r="T1954">
            <v>0</v>
          </cell>
          <cell r="U1954">
            <v>324000</v>
          </cell>
          <cell r="W1954" t="str">
            <v>SASS</v>
          </cell>
          <cell r="Z1954">
            <v>324000</v>
          </cell>
          <cell r="AB1954" t="str">
            <v>TAPE</v>
          </cell>
        </row>
        <row r="1955">
          <cell r="S1955">
            <v>174000</v>
          </cell>
          <cell r="T1955">
            <v>34000</v>
          </cell>
          <cell r="U1955">
            <v>0</v>
          </cell>
          <cell r="W1955" t="str">
            <v>SASS</v>
          </cell>
          <cell r="Z1955">
            <v>208000</v>
          </cell>
        </row>
        <row r="1956">
          <cell r="S1956">
            <v>174000</v>
          </cell>
          <cell r="T1956">
            <v>34000</v>
          </cell>
          <cell r="U1956">
            <v>244000</v>
          </cell>
          <cell r="W1956" t="str">
            <v>SASS</v>
          </cell>
          <cell r="Z1956">
            <v>452000</v>
          </cell>
          <cell r="AB1956" t="str">
            <v>REMOTE_CONTROL</v>
          </cell>
        </row>
        <row r="1957">
          <cell r="S1957">
            <v>174000</v>
          </cell>
          <cell r="T1957">
            <v>34000</v>
          </cell>
          <cell r="U1957">
            <v>244000</v>
          </cell>
          <cell r="W1957" t="str">
            <v>SASS</v>
          </cell>
          <cell r="Z1957">
            <v>452000</v>
          </cell>
          <cell r="AB1957" t="str">
            <v>REMOTE_CONTROL</v>
          </cell>
        </row>
        <row r="1958">
          <cell r="S1958">
            <v>174000</v>
          </cell>
          <cell r="T1958">
            <v>34000</v>
          </cell>
          <cell r="U1958">
            <v>0</v>
          </cell>
          <cell r="W1958" t="str">
            <v>SASS</v>
          </cell>
          <cell r="Z1958">
            <v>208000</v>
          </cell>
        </row>
        <row r="1959">
          <cell r="S1959">
            <v>237000</v>
          </cell>
          <cell r="T1959">
            <v>34000</v>
          </cell>
          <cell r="U1959">
            <v>875500</v>
          </cell>
          <cell r="W1959" t="str">
            <v>SASS</v>
          </cell>
          <cell r="Z1959">
            <v>1146500</v>
          </cell>
          <cell r="AB1959" t="str">
            <v>MAIN_UNIT</v>
          </cell>
        </row>
        <row r="1960">
          <cell r="S1960">
            <v>237000</v>
          </cell>
          <cell r="T1960">
            <v>34000</v>
          </cell>
          <cell r="U1960">
            <v>875500</v>
          </cell>
          <cell r="W1960" t="str">
            <v>SASS</v>
          </cell>
          <cell r="Z1960">
            <v>1146500</v>
          </cell>
          <cell r="AB1960" t="str">
            <v>MAIN_UNIT</v>
          </cell>
        </row>
        <row r="1961">
          <cell r="S1961">
            <v>119000</v>
          </cell>
          <cell r="T1961">
            <v>34000</v>
          </cell>
          <cell r="U1961">
            <v>244000</v>
          </cell>
          <cell r="W1961" t="str">
            <v>SASS</v>
          </cell>
          <cell r="Z1961">
            <v>397000</v>
          </cell>
          <cell r="AB1961" t="str">
            <v>REMOTE_CONTROL</v>
          </cell>
        </row>
        <row r="1962">
          <cell r="S1962">
            <v>153000</v>
          </cell>
          <cell r="T1962">
            <v>34000</v>
          </cell>
          <cell r="U1962">
            <v>704000</v>
          </cell>
          <cell r="W1962" t="str">
            <v>SASS</v>
          </cell>
          <cell r="Z1962">
            <v>891000</v>
          </cell>
          <cell r="AB1962" t="str">
            <v>PANEL</v>
          </cell>
        </row>
        <row r="1963">
          <cell r="S1963">
            <v>153000</v>
          </cell>
          <cell r="T1963">
            <v>34000</v>
          </cell>
          <cell r="U1963">
            <v>704000</v>
          </cell>
          <cell r="W1963" t="str">
            <v>SASS</v>
          </cell>
          <cell r="Z1963">
            <v>891000</v>
          </cell>
          <cell r="AB1963" t="str">
            <v>PANEL</v>
          </cell>
        </row>
        <row r="1964">
          <cell r="S1964">
            <v>174000</v>
          </cell>
          <cell r="T1964">
            <v>34000</v>
          </cell>
          <cell r="U1964">
            <v>1049501</v>
          </cell>
          <cell r="W1964" t="str">
            <v>SASS</v>
          </cell>
          <cell r="Z1964">
            <v>1257501</v>
          </cell>
          <cell r="AB1964" t="str">
            <v>PANEL</v>
          </cell>
        </row>
        <row r="1965">
          <cell r="S1965">
            <v>174000</v>
          </cell>
          <cell r="T1965">
            <v>34000</v>
          </cell>
          <cell r="U1965">
            <v>2310000</v>
          </cell>
          <cell r="W1965" t="str">
            <v>SASS</v>
          </cell>
          <cell r="Z1965">
            <v>2518000</v>
          </cell>
          <cell r="AB1965" t="str">
            <v>PANEL</v>
          </cell>
        </row>
        <row r="1966">
          <cell r="S1966">
            <v>0</v>
          </cell>
          <cell r="T1966">
            <v>0</v>
          </cell>
          <cell r="U1966">
            <v>324000</v>
          </cell>
          <cell r="W1966" t="str">
            <v>SASS</v>
          </cell>
          <cell r="Z1966">
            <v>324000</v>
          </cell>
          <cell r="AB1966" t="str">
            <v>TAPE</v>
          </cell>
        </row>
        <row r="1967">
          <cell r="S1967">
            <v>153000</v>
          </cell>
          <cell r="T1967">
            <v>34000</v>
          </cell>
          <cell r="U1967">
            <v>875500</v>
          </cell>
          <cell r="W1967" t="str">
            <v>SASS</v>
          </cell>
          <cell r="Z1967">
            <v>1062500</v>
          </cell>
          <cell r="AB1967" t="str">
            <v>MAIN_UNIT</v>
          </cell>
        </row>
        <row r="1968">
          <cell r="S1968">
            <v>174000</v>
          </cell>
          <cell r="T1968">
            <v>34000</v>
          </cell>
          <cell r="U1968">
            <v>2483000</v>
          </cell>
          <cell r="W1968" t="str">
            <v>SASS</v>
          </cell>
          <cell r="Z1968">
            <v>2691000</v>
          </cell>
          <cell r="AB1968" t="str">
            <v>PANEL</v>
          </cell>
        </row>
        <row r="1969">
          <cell r="S1969">
            <v>174000</v>
          </cell>
          <cell r="T1969">
            <v>34000</v>
          </cell>
          <cell r="U1969">
            <v>2483000</v>
          </cell>
          <cell r="W1969" t="str">
            <v>SASS</v>
          </cell>
          <cell r="Z1969">
            <v>2691000</v>
          </cell>
          <cell r="AB1969" t="str">
            <v>PANEL</v>
          </cell>
        </row>
        <row r="1970">
          <cell r="S1970">
            <v>174000</v>
          </cell>
          <cell r="T1970">
            <v>34000</v>
          </cell>
          <cell r="U1970">
            <v>2483000</v>
          </cell>
          <cell r="W1970" t="str">
            <v>SASS</v>
          </cell>
          <cell r="Z1970">
            <v>2691000</v>
          </cell>
          <cell r="AB1970" t="str">
            <v>PANEL</v>
          </cell>
        </row>
        <row r="1971">
          <cell r="S1971">
            <v>174000</v>
          </cell>
          <cell r="T1971">
            <v>34000</v>
          </cell>
          <cell r="U1971">
            <v>1420000</v>
          </cell>
          <cell r="W1971" t="str">
            <v>SASS</v>
          </cell>
          <cell r="Z1971">
            <v>1628000</v>
          </cell>
          <cell r="AB1971" t="str">
            <v>MAIN_UNIT</v>
          </cell>
        </row>
        <row r="1972">
          <cell r="S1972">
            <v>174000</v>
          </cell>
          <cell r="T1972">
            <v>34000</v>
          </cell>
          <cell r="U1972">
            <v>1537000</v>
          </cell>
          <cell r="W1972" t="str">
            <v>SASS</v>
          </cell>
          <cell r="Z1972">
            <v>1745000</v>
          </cell>
          <cell r="AB1972" t="str">
            <v>PANEL</v>
          </cell>
        </row>
        <row r="1973">
          <cell r="S1973">
            <v>174000</v>
          </cell>
          <cell r="T1973">
            <v>34000</v>
          </cell>
          <cell r="U1973">
            <v>0</v>
          </cell>
          <cell r="W1973" t="str">
            <v>SASS</v>
          </cell>
          <cell r="Z1973">
            <v>208000</v>
          </cell>
        </row>
        <row r="1974">
          <cell r="S1974">
            <v>153000</v>
          </cell>
          <cell r="T1974">
            <v>34000</v>
          </cell>
          <cell r="U1974">
            <v>704000</v>
          </cell>
          <cell r="W1974" t="str">
            <v>SASS</v>
          </cell>
          <cell r="Z1974">
            <v>891000</v>
          </cell>
          <cell r="AB1974" t="str">
            <v>PANEL</v>
          </cell>
        </row>
        <row r="1975">
          <cell r="S1975">
            <v>99000</v>
          </cell>
          <cell r="T1975">
            <v>34000</v>
          </cell>
          <cell r="U1975">
            <v>0</v>
          </cell>
          <cell r="W1975" t="str">
            <v>SASS</v>
          </cell>
          <cell r="Z1975">
            <v>133000</v>
          </cell>
        </row>
        <row r="1976">
          <cell r="S1976">
            <v>68000</v>
          </cell>
          <cell r="T1976">
            <v>34000</v>
          </cell>
          <cell r="U1976">
            <v>0</v>
          </cell>
          <cell r="W1976" t="str">
            <v>SASS</v>
          </cell>
          <cell r="Z1976">
            <v>102000</v>
          </cell>
        </row>
        <row r="1977">
          <cell r="S1977">
            <v>153000</v>
          </cell>
          <cell r="T1977">
            <v>34000</v>
          </cell>
          <cell r="U1977">
            <v>361500</v>
          </cell>
          <cell r="W1977" t="str">
            <v>SASS</v>
          </cell>
          <cell r="Z1977">
            <v>548500</v>
          </cell>
          <cell r="AB1977" t="str">
            <v>MAIN_UNIT</v>
          </cell>
        </row>
        <row r="1978">
          <cell r="S1978">
            <v>99000</v>
          </cell>
          <cell r="T1978">
            <v>52000</v>
          </cell>
          <cell r="U1978">
            <v>0</v>
          </cell>
          <cell r="W1978" t="str">
            <v>SASS</v>
          </cell>
          <cell r="Z1978">
            <v>151000</v>
          </cell>
        </row>
        <row r="1979">
          <cell r="S1979">
            <v>174000</v>
          </cell>
          <cell r="T1979">
            <v>52000</v>
          </cell>
          <cell r="U1979">
            <v>572500</v>
          </cell>
          <cell r="W1979" t="str">
            <v>SASS</v>
          </cell>
          <cell r="Z1979">
            <v>798500</v>
          </cell>
          <cell r="AB1979" t="str">
            <v>MAIN_UNIT</v>
          </cell>
        </row>
        <row r="1980">
          <cell r="S1980">
            <v>174000</v>
          </cell>
          <cell r="T1980">
            <v>34000</v>
          </cell>
          <cell r="U1980">
            <v>572500</v>
          </cell>
          <cell r="W1980" t="str">
            <v>SASS</v>
          </cell>
          <cell r="Z1980">
            <v>780500</v>
          </cell>
          <cell r="AB1980" t="str">
            <v>MAIN_UNIT</v>
          </cell>
        </row>
        <row r="1981">
          <cell r="S1981">
            <v>153000</v>
          </cell>
          <cell r="T1981">
            <v>52000</v>
          </cell>
          <cell r="U1981">
            <v>704000</v>
          </cell>
          <cell r="W1981" t="str">
            <v>SASS</v>
          </cell>
          <cell r="Z1981">
            <v>909000</v>
          </cell>
          <cell r="AB1981" t="str">
            <v>PANEL</v>
          </cell>
        </row>
        <row r="1982">
          <cell r="S1982">
            <v>174000</v>
          </cell>
          <cell r="T1982">
            <v>34000</v>
          </cell>
          <cell r="U1982">
            <v>572500</v>
          </cell>
          <cell r="W1982" t="str">
            <v>SASS</v>
          </cell>
          <cell r="Z1982">
            <v>780500</v>
          </cell>
          <cell r="AB1982" t="str">
            <v>MAIN_UNIT</v>
          </cell>
        </row>
        <row r="1983">
          <cell r="S1983">
            <v>98000</v>
          </cell>
          <cell r="T1983">
            <v>34000</v>
          </cell>
          <cell r="U1983">
            <v>0</v>
          </cell>
          <cell r="W1983" t="str">
            <v>SASS</v>
          </cell>
          <cell r="Z1983">
            <v>132000</v>
          </cell>
        </row>
        <row r="1984">
          <cell r="S1984">
            <v>174000</v>
          </cell>
          <cell r="T1984">
            <v>52000</v>
          </cell>
          <cell r="U1984">
            <v>1978500</v>
          </cell>
          <cell r="W1984" t="str">
            <v>SASS</v>
          </cell>
          <cell r="Z1984">
            <v>2204500</v>
          </cell>
          <cell r="AB1984" t="str">
            <v>PANEL</v>
          </cell>
        </row>
        <row r="1985">
          <cell r="S1985">
            <v>105000</v>
          </cell>
          <cell r="T1985">
            <v>34000</v>
          </cell>
          <cell r="U1985">
            <v>295500</v>
          </cell>
          <cell r="W1985" t="str">
            <v>SASS</v>
          </cell>
          <cell r="Z1985">
            <v>434500</v>
          </cell>
          <cell r="AB1985" t="str">
            <v>MAIN_UNIT</v>
          </cell>
        </row>
        <row r="1986">
          <cell r="S1986">
            <v>174000</v>
          </cell>
          <cell r="T1986">
            <v>34000</v>
          </cell>
          <cell r="U1986">
            <v>0</v>
          </cell>
          <cell r="W1986" t="str">
            <v>SASS</v>
          </cell>
          <cell r="Z1986">
            <v>208000</v>
          </cell>
        </row>
        <row r="1987">
          <cell r="S1987">
            <v>153000</v>
          </cell>
          <cell r="T1987">
            <v>34000</v>
          </cell>
          <cell r="U1987">
            <v>875500</v>
          </cell>
          <cell r="W1987" t="str">
            <v>SASS</v>
          </cell>
          <cell r="Z1987">
            <v>1062500</v>
          </cell>
          <cell r="AB1987" t="str">
            <v>MAIN_UNIT</v>
          </cell>
        </row>
        <row r="1988">
          <cell r="S1988">
            <v>99000</v>
          </cell>
          <cell r="T1988">
            <v>34000</v>
          </cell>
          <cell r="U1988">
            <v>0</v>
          </cell>
          <cell r="W1988" t="str">
            <v>SASS</v>
          </cell>
          <cell r="Z1988">
            <v>133000</v>
          </cell>
        </row>
        <row r="1989">
          <cell r="S1989">
            <v>153000</v>
          </cell>
          <cell r="T1989">
            <v>34000</v>
          </cell>
          <cell r="U1989">
            <v>113000</v>
          </cell>
          <cell r="W1989" t="str">
            <v>SASS</v>
          </cell>
          <cell r="Z1989">
            <v>300000</v>
          </cell>
          <cell r="AB1989" t="str">
            <v>LED_BAR</v>
          </cell>
        </row>
        <row r="1990">
          <cell r="S1990">
            <v>98000</v>
          </cell>
          <cell r="T1990">
            <v>34000</v>
          </cell>
          <cell r="U1990">
            <v>79000</v>
          </cell>
          <cell r="W1990" t="str">
            <v>SASS</v>
          </cell>
          <cell r="Z1990">
            <v>211000</v>
          </cell>
          <cell r="AB1990" t="str">
            <v>REMOTE_CONTROL</v>
          </cell>
        </row>
        <row r="1991">
          <cell r="S1991">
            <v>99000</v>
          </cell>
          <cell r="T1991">
            <v>34000</v>
          </cell>
          <cell r="U1991">
            <v>0</v>
          </cell>
          <cell r="W1991" t="str">
            <v>SASS</v>
          </cell>
          <cell r="Z1991">
            <v>133000</v>
          </cell>
        </row>
        <row r="1992">
          <cell r="S1992">
            <v>174000</v>
          </cell>
          <cell r="T1992">
            <v>34000</v>
          </cell>
          <cell r="U1992">
            <v>875500</v>
          </cell>
          <cell r="W1992" t="str">
            <v>SASS</v>
          </cell>
          <cell r="Z1992">
            <v>1083500</v>
          </cell>
          <cell r="AB1992" t="str">
            <v>MAIN_UNIT</v>
          </cell>
        </row>
        <row r="1993">
          <cell r="S1993">
            <v>237000</v>
          </cell>
          <cell r="T1993">
            <v>34000</v>
          </cell>
          <cell r="U1993">
            <v>0</v>
          </cell>
          <cell r="W1993" t="str">
            <v>SASS</v>
          </cell>
          <cell r="Z1993">
            <v>271000</v>
          </cell>
        </row>
        <row r="1994">
          <cell r="S1994">
            <v>82000</v>
          </cell>
          <cell r="T1994">
            <v>34000</v>
          </cell>
          <cell r="U1994">
            <v>0</v>
          </cell>
          <cell r="W1994" t="str">
            <v>SASS</v>
          </cell>
          <cell r="Z1994">
            <v>116000</v>
          </cell>
        </row>
        <row r="1995">
          <cell r="S1995">
            <v>153000</v>
          </cell>
          <cell r="T1995">
            <v>34000</v>
          </cell>
          <cell r="U1995">
            <v>704000</v>
          </cell>
          <cell r="W1995" t="str">
            <v>SASS</v>
          </cell>
          <cell r="Z1995">
            <v>891000</v>
          </cell>
          <cell r="AB1995" t="str">
            <v>MAIN_UNIT</v>
          </cell>
        </row>
        <row r="1996">
          <cell r="S1996">
            <v>99000</v>
          </cell>
          <cell r="T1996">
            <v>34000</v>
          </cell>
          <cell r="U1996">
            <v>120000</v>
          </cell>
          <cell r="W1996" t="str">
            <v>SASS</v>
          </cell>
          <cell r="Z1996">
            <v>253000</v>
          </cell>
          <cell r="AB1996" t="str">
            <v>REMOTE_CONTROL</v>
          </cell>
        </row>
        <row r="1997">
          <cell r="S1997">
            <v>174000</v>
          </cell>
          <cell r="T1997">
            <v>34000</v>
          </cell>
          <cell r="U1997">
            <v>808000</v>
          </cell>
          <cell r="W1997" t="str">
            <v>SASS</v>
          </cell>
          <cell r="Z1997">
            <v>1016000</v>
          </cell>
          <cell r="AB1997" t="str">
            <v>PANEL</v>
          </cell>
        </row>
        <row r="1998">
          <cell r="S1998">
            <v>174000</v>
          </cell>
          <cell r="T1998">
            <v>34000</v>
          </cell>
          <cell r="U1998">
            <v>394000</v>
          </cell>
          <cell r="W1998" t="str">
            <v>SASS</v>
          </cell>
          <cell r="Z1998">
            <v>602000</v>
          </cell>
          <cell r="AB1998" t="str">
            <v>POWER_UNIT</v>
          </cell>
        </row>
        <row r="1999">
          <cell r="S1999">
            <v>174000</v>
          </cell>
          <cell r="T1999">
            <v>34000</v>
          </cell>
          <cell r="U1999">
            <v>1323000</v>
          </cell>
          <cell r="W1999" t="str">
            <v>SASS</v>
          </cell>
          <cell r="Z1999">
            <v>1531000</v>
          </cell>
          <cell r="AB1999" t="str">
            <v>MAIN_UNIT</v>
          </cell>
        </row>
        <row r="2000">
          <cell r="S2000">
            <v>174000</v>
          </cell>
          <cell r="T2000">
            <v>34000</v>
          </cell>
          <cell r="U2000">
            <v>875500</v>
          </cell>
          <cell r="W2000" t="str">
            <v>SASS</v>
          </cell>
          <cell r="Z2000">
            <v>1083500</v>
          </cell>
          <cell r="AB2000" t="str">
            <v>MAIN_UNIT</v>
          </cell>
        </row>
        <row r="2001">
          <cell r="S2001">
            <v>98000</v>
          </cell>
          <cell r="T2001">
            <v>34000</v>
          </cell>
          <cell r="U2001">
            <v>0</v>
          </cell>
          <cell r="W2001" t="str">
            <v>SASS</v>
          </cell>
          <cell r="Z2001">
            <v>132000</v>
          </cell>
        </row>
        <row r="2002">
          <cell r="S2002">
            <v>99000</v>
          </cell>
          <cell r="T2002">
            <v>34000</v>
          </cell>
          <cell r="U2002">
            <v>0</v>
          </cell>
          <cell r="W2002" t="str">
            <v>SASS</v>
          </cell>
          <cell r="Z2002">
            <v>133000</v>
          </cell>
        </row>
        <row r="2003">
          <cell r="S2003">
            <v>98000</v>
          </cell>
          <cell r="T2003">
            <v>34000</v>
          </cell>
          <cell r="U2003">
            <v>0</v>
          </cell>
          <cell r="W2003" t="str">
            <v>SASS</v>
          </cell>
          <cell r="Z2003">
            <v>132000</v>
          </cell>
        </row>
        <row r="2004">
          <cell r="S2004">
            <v>153000</v>
          </cell>
          <cell r="T2004">
            <v>0</v>
          </cell>
          <cell r="U2004">
            <v>534501</v>
          </cell>
          <cell r="W2004" t="str">
            <v>SASS</v>
          </cell>
          <cell r="Z2004">
            <v>687501</v>
          </cell>
          <cell r="AB2004" t="str">
            <v>MAIN_UNIT</v>
          </cell>
        </row>
        <row r="2005">
          <cell r="S2005">
            <v>174000</v>
          </cell>
          <cell r="T2005">
            <v>0</v>
          </cell>
          <cell r="U2005">
            <v>964500</v>
          </cell>
          <cell r="W2005" t="str">
            <v>SASS</v>
          </cell>
          <cell r="Z2005">
            <v>1138500</v>
          </cell>
          <cell r="AB2005" t="str">
            <v>PANEL</v>
          </cell>
        </row>
        <row r="2006">
          <cell r="S2006">
            <v>153000</v>
          </cell>
          <cell r="T2006">
            <v>0</v>
          </cell>
          <cell r="U2006">
            <v>534501</v>
          </cell>
          <cell r="W2006" t="str">
            <v>SASS</v>
          </cell>
          <cell r="Z2006">
            <v>687501</v>
          </cell>
          <cell r="AB2006" t="str">
            <v>MAIN_UNIT</v>
          </cell>
        </row>
        <row r="2007">
          <cell r="S2007">
            <v>153000</v>
          </cell>
          <cell r="T2007">
            <v>0</v>
          </cell>
          <cell r="U2007">
            <v>534501</v>
          </cell>
          <cell r="W2007" t="str">
            <v>SASS</v>
          </cell>
          <cell r="Z2007">
            <v>687501</v>
          </cell>
          <cell r="AB2007" t="str">
            <v>MAIN_UNIT</v>
          </cell>
        </row>
        <row r="2008">
          <cell r="S2008">
            <v>0</v>
          </cell>
          <cell r="T2008">
            <v>0</v>
          </cell>
          <cell r="U2008">
            <v>79000</v>
          </cell>
          <cell r="W2008" t="str">
            <v>SASS</v>
          </cell>
          <cell r="Z2008">
            <v>79000</v>
          </cell>
          <cell r="AB2008" t="str">
            <v>REMOTE_CONTROL</v>
          </cell>
        </row>
        <row r="2009">
          <cell r="S2009">
            <v>98000</v>
          </cell>
          <cell r="T2009">
            <v>0</v>
          </cell>
          <cell r="U2009">
            <v>0</v>
          </cell>
          <cell r="W2009" t="str">
            <v>SASS</v>
          </cell>
          <cell r="Z2009">
            <v>98000</v>
          </cell>
        </row>
        <row r="2010">
          <cell r="S2010">
            <v>153000</v>
          </cell>
          <cell r="T2010">
            <v>0</v>
          </cell>
          <cell r="U2010">
            <v>1049501</v>
          </cell>
          <cell r="W2010" t="str">
            <v>SASS</v>
          </cell>
          <cell r="Z2010">
            <v>1202501</v>
          </cell>
          <cell r="AB2010" t="str">
            <v>PANEL</v>
          </cell>
        </row>
        <row r="2011">
          <cell r="S2011">
            <v>153000</v>
          </cell>
          <cell r="T2011">
            <v>52000</v>
          </cell>
          <cell r="U2011">
            <v>0</v>
          </cell>
          <cell r="W2011" t="str">
            <v>SASS</v>
          </cell>
          <cell r="Z2011">
            <v>205000</v>
          </cell>
        </row>
        <row r="2012">
          <cell r="S2012">
            <v>99000</v>
          </cell>
          <cell r="T2012">
            <v>34000</v>
          </cell>
          <cell r="U2012">
            <v>0</v>
          </cell>
          <cell r="W2012" t="str">
            <v>SASS</v>
          </cell>
          <cell r="Z2012">
            <v>133000</v>
          </cell>
        </row>
        <row r="2013">
          <cell r="S2013">
            <v>99000</v>
          </cell>
          <cell r="T2013">
            <v>34000</v>
          </cell>
          <cell r="U2013">
            <v>0</v>
          </cell>
          <cell r="W2013" t="str">
            <v>SASS</v>
          </cell>
          <cell r="Z2013">
            <v>133000</v>
          </cell>
        </row>
        <row r="2014">
          <cell r="S2014">
            <v>99000</v>
          </cell>
          <cell r="T2014">
            <v>34000</v>
          </cell>
          <cell r="U2014">
            <v>0</v>
          </cell>
          <cell r="W2014" t="str">
            <v>SASS</v>
          </cell>
          <cell r="Z2014">
            <v>133000</v>
          </cell>
        </row>
        <row r="2015">
          <cell r="S2015">
            <v>98000</v>
          </cell>
          <cell r="T2015">
            <v>34000</v>
          </cell>
          <cell r="U2015">
            <v>0</v>
          </cell>
          <cell r="W2015" t="str">
            <v>SASS</v>
          </cell>
          <cell r="Z2015">
            <v>132000</v>
          </cell>
        </row>
        <row r="2016">
          <cell r="S2016">
            <v>153000</v>
          </cell>
          <cell r="T2016">
            <v>34000</v>
          </cell>
          <cell r="U2016">
            <v>704000</v>
          </cell>
          <cell r="W2016" t="str">
            <v>SASS</v>
          </cell>
          <cell r="Z2016">
            <v>891000</v>
          </cell>
          <cell r="AB2016" t="str">
            <v>PANEL</v>
          </cell>
        </row>
        <row r="2017">
          <cell r="S2017">
            <v>99000</v>
          </cell>
          <cell r="T2017">
            <v>34000</v>
          </cell>
          <cell r="U2017">
            <v>0</v>
          </cell>
          <cell r="W2017" t="str">
            <v>SASS</v>
          </cell>
          <cell r="Z2017">
            <v>133000</v>
          </cell>
        </row>
        <row r="2018">
          <cell r="S2018">
            <v>98000</v>
          </cell>
          <cell r="T2018">
            <v>34000</v>
          </cell>
          <cell r="U2018">
            <v>0</v>
          </cell>
          <cell r="W2018" t="str">
            <v>SASS</v>
          </cell>
          <cell r="Z2018">
            <v>132000</v>
          </cell>
        </row>
        <row r="2019">
          <cell r="S2019">
            <v>99000</v>
          </cell>
          <cell r="T2019">
            <v>34000</v>
          </cell>
          <cell r="U2019">
            <v>0</v>
          </cell>
          <cell r="W2019" t="str">
            <v>SASS</v>
          </cell>
          <cell r="Z2019">
            <v>133000</v>
          </cell>
        </row>
        <row r="2020">
          <cell r="S2020">
            <v>99000</v>
          </cell>
          <cell r="T2020">
            <v>34000</v>
          </cell>
          <cell r="U2020">
            <v>0</v>
          </cell>
          <cell r="W2020" t="str">
            <v>SASS</v>
          </cell>
          <cell r="Z2020">
            <v>133000</v>
          </cell>
        </row>
        <row r="2021">
          <cell r="S2021">
            <v>153000</v>
          </cell>
          <cell r="T2021">
            <v>34000</v>
          </cell>
          <cell r="U2021">
            <v>808000</v>
          </cell>
          <cell r="W2021" t="str">
            <v>SASS</v>
          </cell>
          <cell r="Z2021">
            <v>995000</v>
          </cell>
          <cell r="AB2021" t="str">
            <v>MAIN_UNIT</v>
          </cell>
        </row>
        <row r="2022">
          <cell r="S2022">
            <v>153000</v>
          </cell>
          <cell r="T2022">
            <v>34000</v>
          </cell>
          <cell r="U2022">
            <v>875500</v>
          </cell>
          <cell r="W2022" t="str">
            <v>SASS</v>
          </cell>
          <cell r="Z2022">
            <v>1062500</v>
          </cell>
          <cell r="AB2022" t="str">
            <v>MAIN_UNIT</v>
          </cell>
        </row>
        <row r="2023">
          <cell r="S2023">
            <v>153000</v>
          </cell>
          <cell r="T2023">
            <v>34000</v>
          </cell>
          <cell r="U2023">
            <v>534501</v>
          </cell>
          <cell r="W2023" t="str">
            <v>SASS</v>
          </cell>
          <cell r="Z2023">
            <v>721501</v>
          </cell>
          <cell r="AB2023" t="str">
            <v>MAIN_UNIT</v>
          </cell>
        </row>
        <row r="2024">
          <cell r="S2024">
            <v>98000</v>
          </cell>
          <cell r="T2024">
            <v>34000</v>
          </cell>
          <cell r="U2024">
            <v>0</v>
          </cell>
          <cell r="W2024" t="str">
            <v>SASS</v>
          </cell>
          <cell r="Z2024">
            <v>132000</v>
          </cell>
        </row>
        <row r="2025">
          <cell r="S2025">
            <v>153000</v>
          </cell>
          <cell r="T2025">
            <v>34000</v>
          </cell>
          <cell r="U2025">
            <v>875500</v>
          </cell>
          <cell r="W2025" t="str">
            <v>SASS</v>
          </cell>
          <cell r="Z2025">
            <v>1062500</v>
          </cell>
          <cell r="AB2025" t="str">
            <v>MAIN_UNIT</v>
          </cell>
        </row>
        <row r="2026">
          <cell r="S2026">
            <v>99000</v>
          </cell>
          <cell r="T2026">
            <v>34000</v>
          </cell>
          <cell r="U2026">
            <v>0</v>
          </cell>
          <cell r="W2026" t="str">
            <v>SASS</v>
          </cell>
          <cell r="Z2026">
            <v>133000</v>
          </cell>
        </row>
        <row r="2027">
          <cell r="S2027">
            <v>99000</v>
          </cell>
          <cell r="T2027">
            <v>34000</v>
          </cell>
          <cell r="U2027">
            <v>0</v>
          </cell>
          <cell r="W2027" t="str">
            <v>SASS</v>
          </cell>
          <cell r="Z2027">
            <v>133000</v>
          </cell>
        </row>
        <row r="2028">
          <cell r="S2028">
            <v>237000</v>
          </cell>
          <cell r="T2028">
            <v>34000</v>
          </cell>
          <cell r="U2028">
            <v>808000</v>
          </cell>
          <cell r="W2028" t="str">
            <v>SASS</v>
          </cell>
          <cell r="Z2028">
            <v>1079000</v>
          </cell>
          <cell r="AB2028" t="str">
            <v>MAIN_UNIT</v>
          </cell>
        </row>
        <row r="2029">
          <cell r="S2029">
            <v>98000</v>
          </cell>
          <cell r="T2029">
            <v>34000</v>
          </cell>
          <cell r="U2029">
            <v>0</v>
          </cell>
          <cell r="W2029" t="str">
            <v>SASS</v>
          </cell>
          <cell r="Z2029">
            <v>132000</v>
          </cell>
        </row>
        <row r="2030">
          <cell r="S2030">
            <v>99000</v>
          </cell>
          <cell r="T2030">
            <v>34000</v>
          </cell>
          <cell r="U2030">
            <v>0</v>
          </cell>
          <cell r="W2030" t="str">
            <v>SASS</v>
          </cell>
          <cell r="Z2030">
            <v>133000</v>
          </cell>
        </row>
        <row r="2031">
          <cell r="S2031">
            <v>99000</v>
          </cell>
          <cell r="T2031">
            <v>52000</v>
          </cell>
          <cell r="U2031">
            <v>0</v>
          </cell>
          <cell r="W2031" t="str">
            <v>SASS</v>
          </cell>
          <cell r="Z2031">
            <v>151000</v>
          </cell>
        </row>
        <row r="2032">
          <cell r="S2032">
            <v>153000</v>
          </cell>
          <cell r="T2032">
            <v>34000</v>
          </cell>
          <cell r="U2032">
            <v>0</v>
          </cell>
          <cell r="W2032" t="str">
            <v>SASS</v>
          </cell>
          <cell r="Z2032">
            <v>187000</v>
          </cell>
        </row>
        <row r="2033">
          <cell r="S2033">
            <v>174000</v>
          </cell>
          <cell r="T2033">
            <v>52000</v>
          </cell>
          <cell r="U2033">
            <v>572500</v>
          </cell>
          <cell r="W2033" t="str">
            <v>SASS</v>
          </cell>
          <cell r="Z2033">
            <v>798500</v>
          </cell>
          <cell r="AB2033" t="str">
            <v>MAIN_UNIT</v>
          </cell>
        </row>
        <row r="2034">
          <cell r="S2034">
            <v>98000</v>
          </cell>
          <cell r="T2034">
            <v>52000</v>
          </cell>
          <cell r="U2034">
            <v>0</v>
          </cell>
          <cell r="W2034" t="str">
            <v>SASS</v>
          </cell>
          <cell r="Z2034">
            <v>150000</v>
          </cell>
        </row>
        <row r="2035">
          <cell r="S2035">
            <v>99000</v>
          </cell>
          <cell r="T2035">
            <v>34000</v>
          </cell>
          <cell r="U2035">
            <v>0</v>
          </cell>
          <cell r="W2035" t="str">
            <v>SASS</v>
          </cell>
          <cell r="Z2035">
            <v>133000</v>
          </cell>
        </row>
        <row r="2036">
          <cell r="S2036">
            <v>174000</v>
          </cell>
          <cell r="T2036">
            <v>34000</v>
          </cell>
          <cell r="U2036">
            <v>1978500</v>
          </cell>
          <cell r="W2036" t="str">
            <v>SASS</v>
          </cell>
          <cell r="Z2036">
            <v>2186500</v>
          </cell>
          <cell r="AB2036" t="str">
            <v>PANEL</v>
          </cell>
        </row>
        <row r="2037">
          <cell r="S2037">
            <v>153000</v>
          </cell>
          <cell r="T2037">
            <v>34000</v>
          </cell>
          <cell r="U2037">
            <v>534501</v>
          </cell>
          <cell r="W2037" t="str">
            <v>SASS</v>
          </cell>
          <cell r="Z2037">
            <v>721501</v>
          </cell>
          <cell r="AB2037" t="str">
            <v>MAIN_UNIT</v>
          </cell>
        </row>
        <row r="2038">
          <cell r="S2038">
            <v>153000</v>
          </cell>
          <cell r="T2038">
            <v>34000</v>
          </cell>
          <cell r="U2038">
            <v>1049501</v>
          </cell>
          <cell r="W2038" t="str">
            <v>SASS</v>
          </cell>
          <cell r="Z2038">
            <v>1236501</v>
          </cell>
          <cell r="AB2038" t="str">
            <v>PANEL</v>
          </cell>
        </row>
        <row r="2039">
          <cell r="S2039">
            <v>174000</v>
          </cell>
          <cell r="T2039">
            <v>52000</v>
          </cell>
          <cell r="U2039">
            <v>572500</v>
          </cell>
          <cell r="W2039" t="str">
            <v>SASS</v>
          </cell>
          <cell r="Z2039">
            <v>798500</v>
          </cell>
          <cell r="AB2039" t="str">
            <v>MAIN_UNIT</v>
          </cell>
        </row>
        <row r="2040">
          <cell r="S2040">
            <v>99000</v>
          </cell>
          <cell r="T2040">
            <v>34000</v>
          </cell>
          <cell r="U2040">
            <v>0</v>
          </cell>
          <cell r="W2040" t="str">
            <v>SASS</v>
          </cell>
          <cell r="Z2040">
            <v>133000</v>
          </cell>
        </row>
        <row r="2041">
          <cell r="S2041">
            <v>174000</v>
          </cell>
          <cell r="T2041">
            <v>34000</v>
          </cell>
          <cell r="U2041">
            <v>244000</v>
          </cell>
          <cell r="W2041" t="str">
            <v>SASS</v>
          </cell>
          <cell r="Z2041">
            <v>452000</v>
          </cell>
          <cell r="AB2041" t="str">
            <v>POWER_UNIT</v>
          </cell>
        </row>
        <row r="2042">
          <cell r="S2042">
            <v>153000</v>
          </cell>
          <cell r="T2042">
            <v>34000</v>
          </cell>
          <cell r="U2042">
            <v>534501</v>
          </cell>
          <cell r="W2042" t="str">
            <v>SASS</v>
          </cell>
          <cell r="Z2042">
            <v>721501</v>
          </cell>
          <cell r="AB2042" t="str">
            <v>MAIN_UNIT</v>
          </cell>
        </row>
        <row r="2043">
          <cell r="S2043">
            <v>105000</v>
          </cell>
          <cell r="T2043">
            <v>52000</v>
          </cell>
          <cell r="U2043">
            <v>964500</v>
          </cell>
          <cell r="W2043" t="str">
            <v>SASS</v>
          </cell>
          <cell r="Z2043">
            <v>1121500</v>
          </cell>
          <cell r="AB2043" t="str">
            <v>PANEL</v>
          </cell>
        </row>
        <row r="2044">
          <cell r="S2044">
            <v>153000</v>
          </cell>
          <cell r="T2044">
            <v>34000</v>
          </cell>
          <cell r="U2044">
            <v>361500</v>
          </cell>
          <cell r="W2044" t="str">
            <v>SASS</v>
          </cell>
          <cell r="Z2044">
            <v>548500</v>
          </cell>
          <cell r="AB2044" t="str">
            <v>MAIN_UNIT</v>
          </cell>
        </row>
        <row r="2045">
          <cell r="S2045">
            <v>174000</v>
          </cell>
          <cell r="T2045">
            <v>52000</v>
          </cell>
          <cell r="U2045">
            <v>327500</v>
          </cell>
          <cell r="W2045" t="str">
            <v>SASS</v>
          </cell>
          <cell r="Z2045">
            <v>553500</v>
          </cell>
          <cell r="AB2045" t="str">
            <v>MAIN_UNIT</v>
          </cell>
        </row>
        <row r="2046">
          <cell r="S2046">
            <v>174000</v>
          </cell>
          <cell r="T2046">
            <v>52000</v>
          </cell>
          <cell r="U2046">
            <v>572500</v>
          </cell>
          <cell r="W2046" t="str">
            <v>SASS</v>
          </cell>
          <cell r="Z2046">
            <v>798500</v>
          </cell>
          <cell r="AB2046" t="str">
            <v>MAIN_UNIT</v>
          </cell>
        </row>
        <row r="2047">
          <cell r="S2047">
            <v>153000</v>
          </cell>
          <cell r="T2047">
            <v>52000</v>
          </cell>
          <cell r="U2047">
            <v>704000</v>
          </cell>
          <cell r="W2047" t="str">
            <v>SASS</v>
          </cell>
          <cell r="Z2047">
            <v>909000</v>
          </cell>
          <cell r="AB2047" t="str">
            <v>MAIN_UNIT</v>
          </cell>
        </row>
        <row r="2048">
          <cell r="S2048">
            <v>98000</v>
          </cell>
          <cell r="T2048">
            <v>34000</v>
          </cell>
          <cell r="U2048">
            <v>0</v>
          </cell>
          <cell r="W2048" t="str">
            <v>SASS</v>
          </cell>
          <cell r="Z2048">
            <v>132000</v>
          </cell>
        </row>
        <row r="2049">
          <cell r="S2049">
            <v>174000</v>
          </cell>
          <cell r="T2049">
            <v>34000</v>
          </cell>
          <cell r="U2049">
            <v>1420000</v>
          </cell>
          <cell r="W2049" t="str">
            <v>SASS</v>
          </cell>
          <cell r="Z2049">
            <v>1628000</v>
          </cell>
          <cell r="AB2049" t="str">
            <v>MAIN_UNIT</v>
          </cell>
        </row>
        <row r="2050">
          <cell r="S2050">
            <v>105000</v>
          </cell>
          <cell r="T2050">
            <v>34000</v>
          </cell>
          <cell r="U2050">
            <v>34500</v>
          </cell>
          <cell r="W2050" t="str">
            <v>SASS</v>
          </cell>
          <cell r="Z2050">
            <v>173500</v>
          </cell>
          <cell r="AB2050" t="str">
            <v>IR_UNIT</v>
          </cell>
        </row>
        <row r="2051">
          <cell r="S2051">
            <v>98000</v>
          </cell>
          <cell r="T2051">
            <v>34000</v>
          </cell>
          <cell r="U2051">
            <v>0</v>
          </cell>
          <cell r="W2051" t="str">
            <v>SASS</v>
          </cell>
          <cell r="Z2051">
            <v>132000</v>
          </cell>
        </row>
        <row r="2052">
          <cell r="S2052">
            <v>174000</v>
          </cell>
          <cell r="T2052">
            <v>34000</v>
          </cell>
          <cell r="U2052">
            <v>0</v>
          </cell>
          <cell r="W2052" t="str">
            <v>SASS</v>
          </cell>
          <cell r="Z2052">
            <v>208000</v>
          </cell>
        </row>
        <row r="2053">
          <cell r="S2053">
            <v>98000</v>
          </cell>
          <cell r="T2053">
            <v>34000</v>
          </cell>
          <cell r="U2053">
            <v>0</v>
          </cell>
          <cell r="W2053" t="str">
            <v>SASS</v>
          </cell>
          <cell r="Z2053">
            <v>132000</v>
          </cell>
        </row>
        <row r="2054">
          <cell r="S2054">
            <v>153000</v>
          </cell>
          <cell r="T2054">
            <v>34000</v>
          </cell>
          <cell r="U2054">
            <v>572500</v>
          </cell>
          <cell r="W2054" t="str">
            <v>SASS</v>
          </cell>
          <cell r="Z2054">
            <v>759500</v>
          </cell>
          <cell r="AB2054" t="str">
            <v>MAIN_UNIT</v>
          </cell>
        </row>
        <row r="2055">
          <cell r="S2055">
            <v>174000</v>
          </cell>
          <cell r="T2055">
            <v>34000</v>
          </cell>
          <cell r="U2055">
            <v>0</v>
          </cell>
          <cell r="W2055" t="str">
            <v>SASS</v>
          </cell>
          <cell r="Z2055">
            <v>208000</v>
          </cell>
        </row>
        <row r="2056">
          <cell r="S2056">
            <v>99000</v>
          </cell>
          <cell r="T2056">
            <v>34000</v>
          </cell>
          <cell r="U2056">
            <v>244000</v>
          </cell>
          <cell r="W2056" t="str">
            <v>SASS</v>
          </cell>
          <cell r="Z2056">
            <v>377000</v>
          </cell>
          <cell r="AB2056" t="str">
            <v>REMOTE_CONTROL</v>
          </cell>
        </row>
        <row r="2057">
          <cell r="S2057">
            <v>153000</v>
          </cell>
          <cell r="T2057">
            <v>34000</v>
          </cell>
          <cell r="U2057">
            <v>113000</v>
          </cell>
          <cell r="W2057" t="str">
            <v>SASS</v>
          </cell>
          <cell r="Z2057">
            <v>300000</v>
          </cell>
          <cell r="AB2057" t="str">
            <v>LED_BAR</v>
          </cell>
        </row>
        <row r="2058">
          <cell r="S2058">
            <v>174000</v>
          </cell>
          <cell r="T2058">
            <v>34000</v>
          </cell>
          <cell r="U2058">
            <v>572500</v>
          </cell>
          <cell r="W2058" t="str">
            <v>SASS</v>
          </cell>
          <cell r="Z2058">
            <v>780500</v>
          </cell>
          <cell r="AB2058" t="str">
            <v>MAIN_UNIT</v>
          </cell>
        </row>
        <row r="2059">
          <cell r="S2059">
            <v>153000</v>
          </cell>
          <cell r="T2059">
            <v>34000</v>
          </cell>
          <cell r="U2059">
            <v>0</v>
          </cell>
          <cell r="W2059" t="str">
            <v>SASS</v>
          </cell>
          <cell r="Z2059">
            <v>187000</v>
          </cell>
        </row>
        <row r="2060">
          <cell r="S2060">
            <v>153000</v>
          </cell>
          <cell r="T2060">
            <v>34000</v>
          </cell>
          <cell r="U2060">
            <v>534501</v>
          </cell>
          <cell r="W2060" t="str">
            <v>SASS</v>
          </cell>
          <cell r="Z2060">
            <v>721501</v>
          </cell>
          <cell r="AB2060" t="str">
            <v>MAIN_UNIT</v>
          </cell>
        </row>
        <row r="2061">
          <cell r="S2061">
            <v>174000</v>
          </cell>
          <cell r="T2061">
            <v>34000</v>
          </cell>
          <cell r="U2061">
            <v>2483000</v>
          </cell>
          <cell r="W2061" t="str">
            <v>SASS</v>
          </cell>
          <cell r="Z2061">
            <v>2691000</v>
          </cell>
          <cell r="AB2061" t="str">
            <v>PANEL</v>
          </cell>
        </row>
        <row r="2062">
          <cell r="S2062">
            <v>98000</v>
          </cell>
          <cell r="T2062">
            <v>34000</v>
          </cell>
          <cell r="U2062">
            <v>0</v>
          </cell>
          <cell r="W2062" t="str">
            <v>SASS</v>
          </cell>
          <cell r="Z2062">
            <v>132000</v>
          </cell>
        </row>
        <row r="2063">
          <cell r="S2063">
            <v>98000</v>
          </cell>
          <cell r="T2063">
            <v>34000</v>
          </cell>
          <cell r="U2063">
            <v>0</v>
          </cell>
          <cell r="W2063" t="str">
            <v>SASS</v>
          </cell>
          <cell r="Z2063">
            <v>132000</v>
          </cell>
        </row>
        <row r="2064">
          <cell r="S2064">
            <v>153000</v>
          </cell>
          <cell r="T2064">
            <v>34000</v>
          </cell>
          <cell r="U2064">
            <v>534501</v>
          </cell>
          <cell r="W2064" t="str">
            <v>SASS</v>
          </cell>
          <cell r="Z2064">
            <v>721501</v>
          </cell>
          <cell r="AB2064" t="str">
            <v>MAIN_UNIT</v>
          </cell>
        </row>
        <row r="2065">
          <cell r="S2065">
            <v>0</v>
          </cell>
          <cell r="T2065">
            <v>0</v>
          </cell>
          <cell r="U2065">
            <v>808000</v>
          </cell>
          <cell r="W2065" t="str">
            <v>SASS</v>
          </cell>
          <cell r="Z2065">
            <v>808000</v>
          </cell>
          <cell r="AB2065" t="str">
            <v>MAIN_UNIT</v>
          </cell>
        </row>
        <row r="2066">
          <cell r="S2066">
            <v>174000</v>
          </cell>
          <cell r="T2066">
            <v>0</v>
          </cell>
          <cell r="U2066">
            <v>1049499</v>
          </cell>
          <cell r="W2066" t="str">
            <v>SASS</v>
          </cell>
          <cell r="Z2066">
            <v>1223499</v>
          </cell>
          <cell r="AB2066" t="str">
            <v>PANEL</v>
          </cell>
        </row>
        <row r="2067">
          <cell r="S2067">
            <v>0</v>
          </cell>
          <cell r="T2067">
            <v>0</v>
          </cell>
          <cell r="U2067">
            <v>144000</v>
          </cell>
          <cell r="W2067" t="str">
            <v>SASS</v>
          </cell>
          <cell r="Z2067">
            <v>144000</v>
          </cell>
          <cell r="AB2067" t="str">
            <v>WIFI_UNIT</v>
          </cell>
        </row>
        <row r="2068">
          <cell r="S2068">
            <v>153000</v>
          </cell>
          <cell r="T2068">
            <v>34000</v>
          </cell>
          <cell r="U2068">
            <v>1049501</v>
          </cell>
          <cell r="W2068" t="str">
            <v>SASS</v>
          </cell>
          <cell r="Z2068">
            <v>1236501</v>
          </cell>
          <cell r="AB2068" t="str">
            <v>PANEL</v>
          </cell>
        </row>
        <row r="2069">
          <cell r="S2069">
            <v>174000</v>
          </cell>
          <cell r="T2069">
            <v>34000</v>
          </cell>
          <cell r="U2069">
            <v>1978500</v>
          </cell>
          <cell r="W2069" t="str">
            <v>SASS</v>
          </cell>
          <cell r="Z2069">
            <v>2186500</v>
          </cell>
          <cell r="AB2069" t="str">
            <v>PANEL</v>
          </cell>
        </row>
        <row r="2070">
          <cell r="S2070">
            <v>0</v>
          </cell>
          <cell r="T2070">
            <v>0</v>
          </cell>
          <cell r="U2070">
            <v>327500</v>
          </cell>
          <cell r="W2070" t="str">
            <v>SASS</v>
          </cell>
          <cell r="Z2070">
            <v>327500</v>
          </cell>
          <cell r="AB2070" t="str">
            <v>MAIN_UNIT</v>
          </cell>
        </row>
        <row r="2071">
          <cell r="S2071">
            <v>153000</v>
          </cell>
          <cell r="T2071">
            <v>0</v>
          </cell>
          <cell r="U2071">
            <v>875500</v>
          </cell>
          <cell r="W2071" t="str">
            <v>SASS</v>
          </cell>
          <cell r="Z2071">
            <v>1028500</v>
          </cell>
          <cell r="AB2071" t="str">
            <v>MAIN_UNIT</v>
          </cell>
        </row>
        <row r="2072">
          <cell r="S2072">
            <v>0</v>
          </cell>
          <cell r="T2072">
            <v>0</v>
          </cell>
          <cell r="U2072">
            <v>65500</v>
          </cell>
          <cell r="W2072" t="str">
            <v>SASS</v>
          </cell>
          <cell r="Z2072">
            <v>65500</v>
          </cell>
          <cell r="AB2072" t="str">
            <v>LVDS_WIRE</v>
          </cell>
        </row>
        <row r="2073">
          <cell r="S2073">
            <v>0</v>
          </cell>
          <cell r="T2073">
            <v>0</v>
          </cell>
          <cell r="U2073">
            <v>34000</v>
          </cell>
          <cell r="W2073" t="str">
            <v>SASS</v>
          </cell>
          <cell r="Z2073">
            <v>34000</v>
          </cell>
          <cell r="AB2073" t="str">
            <v>LVDS_WIRE</v>
          </cell>
        </row>
        <row r="2074">
          <cell r="S2074">
            <v>174000</v>
          </cell>
          <cell r="T2074">
            <v>0</v>
          </cell>
          <cell r="U2074">
            <v>2483000</v>
          </cell>
          <cell r="W2074" t="str">
            <v>SASS</v>
          </cell>
          <cell r="Z2074">
            <v>2657000</v>
          </cell>
          <cell r="AB2074" t="str">
            <v>PANEL</v>
          </cell>
        </row>
        <row r="2075">
          <cell r="S2075">
            <v>0</v>
          </cell>
          <cell r="T2075">
            <v>0</v>
          </cell>
          <cell r="U2075">
            <v>188500</v>
          </cell>
          <cell r="W2075" t="str">
            <v>SASS</v>
          </cell>
          <cell r="Z2075">
            <v>188500</v>
          </cell>
          <cell r="AB2075" t="str">
            <v>TCON_UNIT</v>
          </cell>
        </row>
        <row r="2076">
          <cell r="S2076">
            <v>153000</v>
          </cell>
          <cell r="T2076">
            <v>52000</v>
          </cell>
          <cell r="U2076">
            <v>572500</v>
          </cell>
          <cell r="W2076" t="str">
            <v>SASS</v>
          </cell>
          <cell r="Z2076">
            <v>777500</v>
          </cell>
          <cell r="AB2076" t="str">
            <v>MAIN_UNIT</v>
          </cell>
        </row>
        <row r="2077">
          <cell r="S2077">
            <v>0</v>
          </cell>
          <cell r="T2077">
            <v>0</v>
          </cell>
          <cell r="U2077">
            <v>499001</v>
          </cell>
          <cell r="W2077" t="str">
            <v>SASS</v>
          </cell>
          <cell r="Z2077">
            <v>499001</v>
          </cell>
          <cell r="AB2077" t="str">
            <v>MAIN_UNIT</v>
          </cell>
        </row>
        <row r="2078">
          <cell r="S2078">
            <v>153000</v>
          </cell>
          <cell r="T2078">
            <v>34000</v>
          </cell>
          <cell r="U2078">
            <v>1049501</v>
          </cell>
          <cell r="W2078" t="str">
            <v>SASS</v>
          </cell>
          <cell r="Z2078">
            <v>1236501</v>
          </cell>
          <cell r="AB2078" t="str">
            <v>PANEL</v>
          </cell>
        </row>
        <row r="2079">
          <cell r="S2079">
            <v>99000</v>
          </cell>
          <cell r="T2079">
            <v>52000</v>
          </cell>
          <cell r="U2079">
            <v>0</v>
          </cell>
          <cell r="W2079" t="str">
            <v>SASS</v>
          </cell>
          <cell r="Z2079">
            <v>151000</v>
          </cell>
        </row>
        <row r="2080">
          <cell r="S2080">
            <v>174000</v>
          </cell>
          <cell r="T2080">
            <v>52000</v>
          </cell>
          <cell r="U2080">
            <v>1049501</v>
          </cell>
          <cell r="W2080" t="str">
            <v>SASS</v>
          </cell>
          <cell r="Z2080">
            <v>1275501</v>
          </cell>
          <cell r="AB2080" t="str">
            <v>PANEL</v>
          </cell>
        </row>
        <row r="2081">
          <cell r="S2081">
            <v>153000</v>
          </cell>
          <cell r="T2081">
            <v>52000</v>
          </cell>
          <cell r="U2081">
            <v>704000</v>
          </cell>
          <cell r="W2081" t="str">
            <v>SASS</v>
          </cell>
          <cell r="Z2081">
            <v>909000</v>
          </cell>
          <cell r="AB2081" t="str">
            <v>MAIN_UNIT</v>
          </cell>
        </row>
        <row r="2082">
          <cell r="S2082">
            <v>153000</v>
          </cell>
          <cell r="T2082">
            <v>52000</v>
          </cell>
          <cell r="U2082">
            <v>572500</v>
          </cell>
          <cell r="W2082" t="str">
            <v>SASS</v>
          </cell>
          <cell r="Z2082">
            <v>777500</v>
          </cell>
          <cell r="AB2082" t="str">
            <v>MAIN_UNIT</v>
          </cell>
        </row>
        <row r="2083">
          <cell r="S2083">
            <v>99000</v>
          </cell>
          <cell r="T2083">
            <v>34000</v>
          </cell>
          <cell r="U2083">
            <v>0</v>
          </cell>
          <cell r="W2083" t="str">
            <v>SASS</v>
          </cell>
          <cell r="Z2083">
            <v>133000</v>
          </cell>
        </row>
        <row r="2084">
          <cell r="S2084">
            <v>174000</v>
          </cell>
          <cell r="T2084">
            <v>34000</v>
          </cell>
          <cell r="U2084">
            <v>964500</v>
          </cell>
          <cell r="W2084" t="str">
            <v>SASS</v>
          </cell>
          <cell r="Z2084">
            <v>1172500</v>
          </cell>
          <cell r="AB2084" t="str">
            <v>PANEL</v>
          </cell>
        </row>
        <row r="2085">
          <cell r="S2085">
            <v>0</v>
          </cell>
          <cell r="T2085">
            <v>0</v>
          </cell>
          <cell r="U2085">
            <v>162000</v>
          </cell>
          <cell r="W2085" t="str">
            <v>SASS</v>
          </cell>
          <cell r="Z2085">
            <v>162000</v>
          </cell>
          <cell r="AB2085" t="str">
            <v>TAPE</v>
          </cell>
        </row>
        <row r="2086">
          <cell r="S2086">
            <v>174000</v>
          </cell>
          <cell r="T2086">
            <v>34000</v>
          </cell>
          <cell r="U2086">
            <v>964500</v>
          </cell>
          <cell r="W2086" t="str">
            <v>SASS</v>
          </cell>
          <cell r="Z2086">
            <v>1172500</v>
          </cell>
          <cell r="AB2086" t="str">
            <v>PANEL</v>
          </cell>
        </row>
        <row r="2087">
          <cell r="S2087">
            <v>0</v>
          </cell>
          <cell r="T2087">
            <v>0</v>
          </cell>
          <cell r="U2087">
            <v>162000</v>
          </cell>
          <cell r="W2087" t="str">
            <v>SASS</v>
          </cell>
          <cell r="Z2087">
            <v>162000</v>
          </cell>
          <cell r="AB2087" t="str">
            <v>TAPE</v>
          </cell>
        </row>
        <row r="2088">
          <cell r="S2088">
            <v>174000</v>
          </cell>
          <cell r="T2088">
            <v>34000</v>
          </cell>
          <cell r="U2088">
            <v>1049501</v>
          </cell>
          <cell r="W2088" t="str">
            <v>SASS</v>
          </cell>
          <cell r="Z2088">
            <v>1257501</v>
          </cell>
          <cell r="AB2088" t="str">
            <v>PANEL</v>
          </cell>
        </row>
        <row r="2089">
          <cell r="S2089">
            <v>174000</v>
          </cell>
          <cell r="T2089">
            <v>34000</v>
          </cell>
          <cell r="U2089">
            <v>964500</v>
          </cell>
          <cell r="W2089" t="str">
            <v>SASS</v>
          </cell>
          <cell r="Z2089">
            <v>1172500</v>
          </cell>
          <cell r="AB2089" t="str">
            <v>PANEL</v>
          </cell>
        </row>
        <row r="2090">
          <cell r="S2090">
            <v>0</v>
          </cell>
          <cell r="T2090">
            <v>0</v>
          </cell>
          <cell r="U2090">
            <v>162000</v>
          </cell>
          <cell r="W2090" t="str">
            <v>SASS</v>
          </cell>
          <cell r="Z2090">
            <v>162000</v>
          </cell>
          <cell r="AB2090" t="str">
            <v>TAPE</v>
          </cell>
        </row>
        <row r="2091">
          <cell r="S2091">
            <v>174000</v>
          </cell>
          <cell r="T2091">
            <v>34000</v>
          </cell>
          <cell r="U2091">
            <v>964500</v>
          </cell>
          <cell r="W2091" t="str">
            <v>SASS</v>
          </cell>
          <cell r="Z2091">
            <v>1172500</v>
          </cell>
          <cell r="AB2091" t="str">
            <v>PANEL</v>
          </cell>
        </row>
        <row r="2092">
          <cell r="S2092">
            <v>0</v>
          </cell>
          <cell r="T2092">
            <v>0</v>
          </cell>
          <cell r="U2092">
            <v>162000</v>
          </cell>
          <cell r="W2092" t="str">
            <v>SASS</v>
          </cell>
          <cell r="Z2092">
            <v>162000</v>
          </cell>
          <cell r="AB2092" t="str">
            <v>TAPE</v>
          </cell>
        </row>
        <row r="2093">
          <cell r="S2093">
            <v>174000</v>
          </cell>
          <cell r="T2093">
            <v>34000</v>
          </cell>
          <cell r="U2093">
            <v>964500</v>
          </cell>
          <cell r="W2093" t="str">
            <v>SASS</v>
          </cell>
          <cell r="Z2093">
            <v>1172500</v>
          </cell>
          <cell r="AB2093" t="str">
            <v>PANEL</v>
          </cell>
        </row>
        <row r="2094">
          <cell r="S2094">
            <v>0</v>
          </cell>
          <cell r="T2094">
            <v>0</v>
          </cell>
          <cell r="U2094">
            <v>162000</v>
          </cell>
          <cell r="W2094" t="str">
            <v>SASS</v>
          </cell>
          <cell r="Z2094">
            <v>162000</v>
          </cell>
          <cell r="AB2094" t="str">
            <v>TAPE</v>
          </cell>
        </row>
        <row r="2095">
          <cell r="S2095">
            <v>174000</v>
          </cell>
          <cell r="T2095">
            <v>34000</v>
          </cell>
          <cell r="U2095">
            <v>964500</v>
          </cell>
          <cell r="W2095" t="str">
            <v>SASS</v>
          </cell>
          <cell r="Z2095">
            <v>1172500</v>
          </cell>
          <cell r="AB2095" t="str">
            <v>PANEL</v>
          </cell>
        </row>
        <row r="2096">
          <cell r="S2096">
            <v>0</v>
          </cell>
          <cell r="T2096">
            <v>0</v>
          </cell>
          <cell r="U2096">
            <v>162000</v>
          </cell>
          <cell r="W2096" t="str">
            <v>SASS</v>
          </cell>
          <cell r="Z2096">
            <v>162000</v>
          </cell>
          <cell r="AB2096" t="str">
            <v>TAPE</v>
          </cell>
        </row>
        <row r="2097">
          <cell r="S2097">
            <v>174000</v>
          </cell>
          <cell r="T2097">
            <v>52000</v>
          </cell>
          <cell r="U2097">
            <v>1420000</v>
          </cell>
          <cell r="W2097" t="str">
            <v>SASS</v>
          </cell>
          <cell r="Z2097">
            <v>1646000</v>
          </cell>
          <cell r="AB2097" t="str">
            <v>MAIN_UNIT</v>
          </cell>
        </row>
        <row r="2098">
          <cell r="S2098">
            <v>174000</v>
          </cell>
          <cell r="T2098">
            <v>52000</v>
          </cell>
          <cell r="U2098">
            <v>572500</v>
          </cell>
          <cell r="W2098" t="str">
            <v>SASS</v>
          </cell>
          <cell r="Z2098">
            <v>798500</v>
          </cell>
          <cell r="AB2098" t="str">
            <v>MAIN_UNIT</v>
          </cell>
        </row>
        <row r="2099">
          <cell r="S2099">
            <v>174000</v>
          </cell>
          <cell r="T2099">
            <v>52000</v>
          </cell>
          <cell r="U2099">
            <v>394000</v>
          </cell>
          <cell r="W2099" t="str">
            <v>SASS</v>
          </cell>
          <cell r="Z2099">
            <v>620000</v>
          </cell>
          <cell r="AB2099" t="str">
            <v>POWER_UNIT</v>
          </cell>
        </row>
        <row r="2100">
          <cell r="S2100">
            <v>99000</v>
          </cell>
          <cell r="T2100">
            <v>34000</v>
          </cell>
          <cell r="U2100">
            <v>244000</v>
          </cell>
          <cell r="W2100" t="str">
            <v>SASS</v>
          </cell>
          <cell r="Z2100">
            <v>377000</v>
          </cell>
          <cell r="AB2100" t="str">
            <v>REMOTE_CONTROL</v>
          </cell>
        </row>
        <row r="2101">
          <cell r="S2101">
            <v>174000</v>
          </cell>
          <cell r="T2101">
            <v>34000</v>
          </cell>
          <cell r="U2101">
            <v>808000</v>
          </cell>
          <cell r="W2101" t="str">
            <v>SASS</v>
          </cell>
          <cell r="Z2101">
            <v>1016000</v>
          </cell>
          <cell r="AB2101" t="str">
            <v>MAIN_UNIT</v>
          </cell>
        </row>
        <row r="2102">
          <cell r="S2102">
            <v>174000</v>
          </cell>
          <cell r="T2102">
            <v>34000</v>
          </cell>
          <cell r="U2102">
            <v>704000</v>
          </cell>
          <cell r="W2102" t="str">
            <v>SASS</v>
          </cell>
          <cell r="Z2102">
            <v>912000</v>
          </cell>
          <cell r="AB2102" t="str">
            <v>POWER_UNIT</v>
          </cell>
        </row>
        <row r="2103">
          <cell r="S2103">
            <v>99000</v>
          </cell>
          <cell r="T2103">
            <v>34000</v>
          </cell>
          <cell r="U2103">
            <v>0</v>
          </cell>
          <cell r="W2103" t="str">
            <v>SASS</v>
          </cell>
          <cell r="Z2103">
            <v>133000</v>
          </cell>
        </row>
        <row r="2104">
          <cell r="S2104">
            <v>98000</v>
          </cell>
          <cell r="T2104">
            <v>34000</v>
          </cell>
          <cell r="U2104">
            <v>0</v>
          </cell>
          <cell r="W2104" t="str">
            <v>SASS</v>
          </cell>
          <cell r="Z2104">
            <v>132000</v>
          </cell>
        </row>
        <row r="2105">
          <cell r="S2105">
            <v>153000</v>
          </cell>
          <cell r="T2105">
            <v>52000</v>
          </cell>
          <cell r="U2105">
            <v>534501</v>
          </cell>
          <cell r="W2105" t="str">
            <v>SASS</v>
          </cell>
          <cell r="Z2105">
            <v>739501</v>
          </cell>
          <cell r="AB2105" t="str">
            <v>MAIN_UNIT</v>
          </cell>
        </row>
        <row r="2106">
          <cell r="S2106">
            <v>99000</v>
          </cell>
          <cell r="T2106">
            <v>52000</v>
          </cell>
          <cell r="U2106">
            <v>0</v>
          </cell>
          <cell r="W2106" t="str">
            <v>SASS</v>
          </cell>
          <cell r="Z2106">
            <v>151000</v>
          </cell>
        </row>
        <row r="2107">
          <cell r="S2107">
            <v>98000</v>
          </cell>
          <cell r="T2107">
            <v>34000</v>
          </cell>
          <cell r="U2107">
            <v>0</v>
          </cell>
          <cell r="W2107" t="str">
            <v>SASS</v>
          </cell>
          <cell r="Z2107">
            <v>132000</v>
          </cell>
        </row>
        <row r="2108">
          <cell r="S2108">
            <v>98000</v>
          </cell>
          <cell r="T2108">
            <v>34000</v>
          </cell>
          <cell r="U2108">
            <v>0</v>
          </cell>
          <cell r="W2108" t="str">
            <v>SASS</v>
          </cell>
          <cell r="Z2108">
            <v>132000</v>
          </cell>
        </row>
        <row r="2109">
          <cell r="S2109">
            <v>174000</v>
          </cell>
          <cell r="T2109">
            <v>34000</v>
          </cell>
          <cell r="U2109">
            <v>572500</v>
          </cell>
          <cell r="W2109" t="str">
            <v>SASS</v>
          </cell>
          <cell r="Z2109">
            <v>780500</v>
          </cell>
          <cell r="AB2109" t="str">
            <v>MAIN_UNIT</v>
          </cell>
        </row>
        <row r="2110">
          <cell r="S2110">
            <v>174000</v>
          </cell>
          <cell r="T2110">
            <v>34000</v>
          </cell>
          <cell r="U2110">
            <v>499001</v>
          </cell>
          <cell r="W2110" t="str">
            <v>SASS</v>
          </cell>
          <cell r="Z2110">
            <v>707001</v>
          </cell>
          <cell r="AB2110" t="str">
            <v>POWER_UNIT</v>
          </cell>
        </row>
        <row r="2111">
          <cell r="S2111">
            <v>153000</v>
          </cell>
          <cell r="T2111">
            <v>34000</v>
          </cell>
          <cell r="U2111">
            <v>534501</v>
          </cell>
          <cell r="W2111" t="str">
            <v>SASS</v>
          </cell>
          <cell r="Z2111">
            <v>721501</v>
          </cell>
          <cell r="AB2111" t="str">
            <v>MAIN_UNIT</v>
          </cell>
        </row>
        <row r="2112">
          <cell r="S2112">
            <v>153000</v>
          </cell>
          <cell r="T2112">
            <v>34000</v>
          </cell>
          <cell r="U2112">
            <v>534501</v>
          </cell>
          <cell r="W2112" t="str">
            <v>SASS</v>
          </cell>
          <cell r="Z2112">
            <v>721501</v>
          </cell>
          <cell r="AB2112" t="str">
            <v>MAIN_UNIT</v>
          </cell>
        </row>
        <row r="2113">
          <cell r="S2113">
            <v>99000</v>
          </cell>
          <cell r="T2113">
            <v>52000</v>
          </cell>
          <cell r="U2113">
            <v>0</v>
          </cell>
          <cell r="W2113" t="str">
            <v>SASS</v>
          </cell>
          <cell r="Z2113">
            <v>151000</v>
          </cell>
        </row>
        <row r="2114">
          <cell r="S2114">
            <v>99000</v>
          </cell>
          <cell r="T2114">
            <v>34000</v>
          </cell>
          <cell r="U2114">
            <v>0</v>
          </cell>
          <cell r="W2114" t="str">
            <v>SASS</v>
          </cell>
          <cell r="Z2114">
            <v>133000</v>
          </cell>
        </row>
        <row r="2115">
          <cell r="S2115">
            <v>153000</v>
          </cell>
          <cell r="T2115">
            <v>34000</v>
          </cell>
          <cell r="U2115">
            <v>704000</v>
          </cell>
          <cell r="W2115" t="str">
            <v>SASS</v>
          </cell>
          <cell r="Z2115">
            <v>891000</v>
          </cell>
          <cell r="AB2115" t="str">
            <v>PANEL</v>
          </cell>
        </row>
        <row r="2116">
          <cell r="S2116">
            <v>153000</v>
          </cell>
          <cell r="T2116">
            <v>34000</v>
          </cell>
          <cell r="U2116">
            <v>534501</v>
          </cell>
          <cell r="W2116" t="str">
            <v>SASS</v>
          </cell>
          <cell r="Z2116">
            <v>721501</v>
          </cell>
          <cell r="AB2116" t="str">
            <v>MAIN_UNIT</v>
          </cell>
        </row>
        <row r="2117">
          <cell r="S2117">
            <v>0</v>
          </cell>
          <cell r="T2117">
            <v>0</v>
          </cell>
          <cell r="U2117">
            <v>534501</v>
          </cell>
          <cell r="W2117" t="str">
            <v>SASS</v>
          </cell>
          <cell r="Z2117">
            <v>534501</v>
          </cell>
          <cell r="AB2117" t="str">
            <v>MAIN_UNIT</v>
          </cell>
        </row>
        <row r="2118">
          <cell r="S2118">
            <v>99000</v>
          </cell>
          <cell r="T2118">
            <v>34000</v>
          </cell>
          <cell r="U2118">
            <v>0</v>
          </cell>
          <cell r="W2118" t="str">
            <v>SASS</v>
          </cell>
          <cell r="Z2118">
            <v>133000</v>
          </cell>
        </row>
        <row r="2119">
          <cell r="S2119">
            <v>0</v>
          </cell>
          <cell r="T2119">
            <v>0</v>
          </cell>
          <cell r="U2119">
            <v>216000</v>
          </cell>
          <cell r="W2119" t="str">
            <v>SASS</v>
          </cell>
          <cell r="Z2119">
            <v>216000</v>
          </cell>
          <cell r="AB2119" t="str">
            <v>MAIN_UNIT</v>
          </cell>
        </row>
        <row r="2120">
          <cell r="S2120">
            <v>153000</v>
          </cell>
          <cell r="T2120">
            <v>34000</v>
          </cell>
          <cell r="U2120">
            <v>327500</v>
          </cell>
          <cell r="W2120" t="str">
            <v>SASS</v>
          </cell>
          <cell r="Z2120">
            <v>514500</v>
          </cell>
          <cell r="AB2120" t="str">
            <v>POWER_UNIT</v>
          </cell>
        </row>
        <row r="2121">
          <cell r="S2121">
            <v>0</v>
          </cell>
          <cell r="T2121">
            <v>0</v>
          </cell>
          <cell r="U2121">
            <v>216000</v>
          </cell>
          <cell r="W2121" t="str">
            <v>SASS</v>
          </cell>
          <cell r="Z2121">
            <v>216000</v>
          </cell>
          <cell r="AB2121" t="str">
            <v>MAIN_UNIT</v>
          </cell>
        </row>
        <row r="2122">
          <cell r="S2122">
            <v>153000</v>
          </cell>
          <cell r="T2122">
            <v>34000</v>
          </cell>
          <cell r="U2122">
            <v>327500</v>
          </cell>
          <cell r="W2122" t="str">
            <v>SASS</v>
          </cell>
          <cell r="Z2122">
            <v>514500</v>
          </cell>
          <cell r="AB2122" t="str">
            <v>POWER_UNIT</v>
          </cell>
        </row>
        <row r="2123">
          <cell r="S2123">
            <v>153000</v>
          </cell>
          <cell r="T2123">
            <v>34000</v>
          </cell>
          <cell r="U2123">
            <v>875500</v>
          </cell>
          <cell r="W2123" t="str">
            <v>SASS</v>
          </cell>
          <cell r="Z2123">
            <v>1062500</v>
          </cell>
          <cell r="AB2123" t="str">
            <v>MAIN_UNIT</v>
          </cell>
        </row>
        <row r="2124">
          <cell r="S2124">
            <v>0</v>
          </cell>
          <cell r="T2124">
            <v>0</v>
          </cell>
          <cell r="U2124">
            <v>113000</v>
          </cell>
          <cell r="W2124" t="str">
            <v>SASS</v>
          </cell>
          <cell r="Z2124">
            <v>113000</v>
          </cell>
          <cell r="AB2124" t="str">
            <v>LED_BAR</v>
          </cell>
        </row>
        <row r="2125">
          <cell r="S2125">
            <v>174000</v>
          </cell>
          <cell r="T2125">
            <v>34000</v>
          </cell>
          <cell r="U2125">
            <v>572500</v>
          </cell>
          <cell r="W2125" t="str">
            <v>SASS</v>
          </cell>
          <cell r="Z2125">
            <v>780500</v>
          </cell>
          <cell r="AB2125" t="str">
            <v>MAIN_UNIT</v>
          </cell>
        </row>
        <row r="2126">
          <cell r="S2126">
            <v>119000</v>
          </cell>
          <cell r="T2126">
            <v>34000</v>
          </cell>
          <cell r="U2126">
            <v>0</v>
          </cell>
          <cell r="W2126" t="str">
            <v>SASS</v>
          </cell>
          <cell r="Z2126">
            <v>153000</v>
          </cell>
        </row>
        <row r="2127">
          <cell r="S2127">
            <v>99000</v>
          </cell>
          <cell r="T2127">
            <v>34000</v>
          </cell>
          <cell r="U2127">
            <v>0</v>
          </cell>
          <cell r="W2127" t="str">
            <v>SASS</v>
          </cell>
          <cell r="Z2127">
            <v>133000</v>
          </cell>
        </row>
        <row r="2128">
          <cell r="S2128">
            <v>99000</v>
          </cell>
          <cell r="T2128">
            <v>34000</v>
          </cell>
          <cell r="U2128">
            <v>0</v>
          </cell>
          <cell r="W2128" t="str">
            <v>SASS</v>
          </cell>
          <cell r="Z2128">
            <v>133000</v>
          </cell>
        </row>
        <row r="2129">
          <cell r="S2129">
            <v>98000</v>
          </cell>
          <cell r="T2129">
            <v>34000</v>
          </cell>
          <cell r="U2129">
            <v>0</v>
          </cell>
          <cell r="W2129" t="str">
            <v>SASS</v>
          </cell>
          <cell r="Z2129">
            <v>132000</v>
          </cell>
        </row>
        <row r="2130">
          <cell r="S2130">
            <v>174000</v>
          </cell>
          <cell r="T2130">
            <v>52000</v>
          </cell>
          <cell r="U2130">
            <v>499001</v>
          </cell>
          <cell r="W2130" t="str">
            <v>SASS</v>
          </cell>
          <cell r="Z2130">
            <v>725001</v>
          </cell>
          <cell r="AB2130" t="str">
            <v>POWER_UNIT</v>
          </cell>
        </row>
        <row r="2131">
          <cell r="S2131">
            <v>153000</v>
          </cell>
          <cell r="T2131">
            <v>34000</v>
          </cell>
          <cell r="U2131">
            <v>572500</v>
          </cell>
          <cell r="W2131" t="str">
            <v>SASS</v>
          </cell>
          <cell r="Z2131">
            <v>759500</v>
          </cell>
          <cell r="AB2131" t="str">
            <v>MAIN_UNIT</v>
          </cell>
        </row>
        <row r="2132">
          <cell r="S2132">
            <v>153000</v>
          </cell>
          <cell r="T2132">
            <v>34000</v>
          </cell>
          <cell r="U2132">
            <v>964500</v>
          </cell>
          <cell r="W2132" t="str">
            <v>SASS</v>
          </cell>
          <cell r="Z2132">
            <v>1151500</v>
          </cell>
          <cell r="AB2132" t="str">
            <v>PANEL</v>
          </cell>
        </row>
        <row r="2133">
          <cell r="S2133">
            <v>0</v>
          </cell>
          <cell r="T2133">
            <v>0</v>
          </cell>
          <cell r="U2133">
            <v>263000</v>
          </cell>
          <cell r="W2133" t="str">
            <v>SASS</v>
          </cell>
          <cell r="Z2133">
            <v>263000</v>
          </cell>
          <cell r="AB2133" t="str">
            <v>TAPE</v>
          </cell>
        </row>
        <row r="2134">
          <cell r="S2134">
            <v>0</v>
          </cell>
          <cell r="T2134">
            <v>0</v>
          </cell>
          <cell r="U2134">
            <v>361500</v>
          </cell>
          <cell r="W2134" t="str">
            <v>SASS</v>
          </cell>
          <cell r="Z2134">
            <v>361500</v>
          </cell>
          <cell r="AB2134" t="str">
            <v>PART_KIT</v>
          </cell>
        </row>
        <row r="2135">
          <cell r="S2135">
            <v>174000</v>
          </cell>
          <cell r="T2135">
            <v>34000</v>
          </cell>
          <cell r="U2135">
            <v>2483000</v>
          </cell>
          <cell r="W2135" t="str">
            <v>SASS</v>
          </cell>
          <cell r="Z2135">
            <v>2691000</v>
          </cell>
          <cell r="AB2135" t="str">
            <v>PANEL</v>
          </cell>
        </row>
        <row r="2136">
          <cell r="S2136">
            <v>153000</v>
          </cell>
          <cell r="T2136">
            <v>34000</v>
          </cell>
          <cell r="U2136">
            <v>534501</v>
          </cell>
          <cell r="W2136" t="str">
            <v>SASS</v>
          </cell>
          <cell r="Z2136">
            <v>721501</v>
          </cell>
          <cell r="AB2136" t="str">
            <v>MAIN_UNIT</v>
          </cell>
        </row>
        <row r="2137">
          <cell r="S2137">
            <v>153000</v>
          </cell>
          <cell r="T2137">
            <v>34000</v>
          </cell>
          <cell r="U2137">
            <v>534501</v>
          </cell>
          <cell r="W2137" t="str">
            <v>SASS</v>
          </cell>
          <cell r="Z2137">
            <v>721501</v>
          </cell>
          <cell r="AB2137" t="str">
            <v>MAIN_UNIT</v>
          </cell>
        </row>
        <row r="2138">
          <cell r="S2138">
            <v>0</v>
          </cell>
          <cell r="T2138">
            <v>0</v>
          </cell>
          <cell r="U2138">
            <v>79000</v>
          </cell>
          <cell r="W2138" t="str">
            <v>SASS</v>
          </cell>
          <cell r="Z2138">
            <v>79000</v>
          </cell>
          <cell r="AB2138" t="str">
            <v>REMOTE_CONTROL</v>
          </cell>
        </row>
        <row r="2139">
          <cell r="S2139">
            <v>153000</v>
          </cell>
          <cell r="T2139">
            <v>34000</v>
          </cell>
          <cell r="U2139">
            <v>0</v>
          </cell>
          <cell r="W2139" t="str">
            <v>SASS</v>
          </cell>
          <cell r="Z2139">
            <v>187000</v>
          </cell>
        </row>
        <row r="2140">
          <cell r="S2140">
            <v>174000</v>
          </cell>
          <cell r="T2140">
            <v>34000</v>
          </cell>
          <cell r="U2140">
            <v>1420000</v>
          </cell>
          <cell r="W2140" t="str">
            <v>SASS</v>
          </cell>
          <cell r="Z2140">
            <v>1628000</v>
          </cell>
          <cell r="AB2140" t="str">
            <v>MAIN_UNIT</v>
          </cell>
        </row>
        <row r="2141">
          <cell r="S2141">
            <v>174000</v>
          </cell>
          <cell r="T2141">
            <v>0</v>
          </cell>
          <cell r="U2141">
            <v>572500</v>
          </cell>
          <cell r="W2141" t="str">
            <v>SASS</v>
          </cell>
          <cell r="Z2141">
            <v>746500</v>
          </cell>
          <cell r="AB2141" t="str">
            <v>MAIN_UNIT</v>
          </cell>
        </row>
        <row r="2142">
          <cell r="S2142">
            <v>99000</v>
          </cell>
          <cell r="T2142">
            <v>34000</v>
          </cell>
          <cell r="U2142">
            <v>0</v>
          </cell>
          <cell r="W2142" t="str">
            <v>SASS</v>
          </cell>
          <cell r="Z2142">
            <v>133000</v>
          </cell>
        </row>
        <row r="2143">
          <cell r="S2143">
            <v>153000</v>
          </cell>
          <cell r="T2143">
            <v>34000</v>
          </cell>
          <cell r="U2143">
            <v>361500</v>
          </cell>
          <cell r="W2143" t="str">
            <v>SASS</v>
          </cell>
          <cell r="Z2143">
            <v>548500</v>
          </cell>
          <cell r="AB2143" t="str">
            <v>MAIN_UNIT</v>
          </cell>
        </row>
        <row r="2144">
          <cell r="S2144">
            <v>174000</v>
          </cell>
          <cell r="T2144">
            <v>34000</v>
          </cell>
          <cell r="U2144">
            <v>2483000</v>
          </cell>
          <cell r="W2144" t="str">
            <v>SASS</v>
          </cell>
          <cell r="Z2144">
            <v>2691000</v>
          </cell>
          <cell r="AB2144" t="str">
            <v>PANEL</v>
          </cell>
        </row>
        <row r="2145">
          <cell r="S2145">
            <v>98000</v>
          </cell>
          <cell r="T2145">
            <v>0</v>
          </cell>
          <cell r="U2145">
            <v>0</v>
          </cell>
          <cell r="W2145" t="str">
            <v>SASS</v>
          </cell>
          <cell r="Z2145">
            <v>98000</v>
          </cell>
        </row>
        <row r="2146">
          <cell r="S2146">
            <v>153000</v>
          </cell>
          <cell r="T2146">
            <v>34000</v>
          </cell>
          <cell r="U2146">
            <v>534501</v>
          </cell>
          <cell r="W2146" t="str">
            <v>SASS</v>
          </cell>
          <cell r="Z2146">
            <v>721501</v>
          </cell>
          <cell r="AB2146" t="str">
            <v>MAIN_UNIT</v>
          </cell>
        </row>
        <row r="2147">
          <cell r="S2147">
            <v>99000</v>
          </cell>
          <cell r="T2147">
            <v>52000</v>
          </cell>
          <cell r="U2147">
            <v>0</v>
          </cell>
          <cell r="W2147" t="str">
            <v>SASS</v>
          </cell>
          <cell r="Z2147">
            <v>151000</v>
          </cell>
        </row>
        <row r="2148">
          <cell r="S2148">
            <v>153000</v>
          </cell>
          <cell r="T2148">
            <v>52000</v>
          </cell>
          <cell r="U2148">
            <v>0</v>
          </cell>
          <cell r="W2148" t="str">
            <v>SASS</v>
          </cell>
          <cell r="Z2148">
            <v>205000</v>
          </cell>
        </row>
        <row r="2149">
          <cell r="S2149">
            <v>98000</v>
          </cell>
          <cell r="T2149">
            <v>34000</v>
          </cell>
          <cell r="U2149">
            <v>0</v>
          </cell>
          <cell r="W2149" t="str">
            <v>SASS</v>
          </cell>
          <cell r="Z2149">
            <v>132000</v>
          </cell>
        </row>
        <row r="2150">
          <cell r="S2150">
            <v>174000</v>
          </cell>
          <cell r="T2150">
            <v>34000</v>
          </cell>
          <cell r="U2150">
            <v>2483000</v>
          </cell>
          <cell r="W2150" t="str">
            <v>SASS</v>
          </cell>
          <cell r="Z2150">
            <v>2691000</v>
          </cell>
          <cell r="AB2150" t="str">
            <v>PANEL</v>
          </cell>
        </row>
        <row r="2151">
          <cell r="S2151">
            <v>174000</v>
          </cell>
          <cell r="T2151">
            <v>34000</v>
          </cell>
          <cell r="U2151">
            <v>1049501</v>
          </cell>
          <cell r="W2151" t="str">
            <v>SASS</v>
          </cell>
          <cell r="Z2151">
            <v>1257501</v>
          </cell>
          <cell r="AB2151" t="str">
            <v>PANEL</v>
          </cell>
        </row>
        <row r="2152">
          <cell r="S2152">
            <v>98000</v>
          </cell>
          <cell r="T2152">
            <v>52000</v>
          </cell>
          <cell r="U2152">
            <v>0</v>
          </cell>
          <cell r="W2152" t="str">
            <v>SASS</v>
          </cell>
          <cell r="Z2152">
            <v>150000</v>
          </cell>
        </row>
        <row r="2153">
          <cell r="S2153">
            <v>153000</v>
          </cell>
          <cell r="T2153">
            <v>52000</v>
          </cell>
          <cell r="U2153">
            <v>0</v>
          </cell>
          <cell r="W2153" t="str">
            <v>SASS</v>
          </cell>
          <cell r="Z2153">
            <v>205000</v>
          </cell>
        </row>
        <row r="2154">
          <cell r="S2154">
            <v>105000</v>
          </cell>
          <cell r="T2154">
            <v>52000</v>
          </cell>
          <cell r="U2154">
            <v>463500</v>
          </cell>
          <cell r="W2154" t="str">
            <v>SASS</v>
          </cell>
          <cell r="Z2154">
            <v>620500</v>
          </cell>
          <cell r="AB2154" t="str">
            <v>MAIN_UNIT</v>
          </cell>
        </row>
        <row r="2155">
          <cell r="S2155">
            <v>237000</v>
          </cell>
          <cell r="T2155">
            <v>34000</v>
          </cell>
          <cell r="U2155">
            <v>0</v>
          </cell>
          <cell r="W2155" t="str">
            <v>SASS</v>
          </cell>
          <cell r="Z2155">
            <v>271000</v>
          </cell>
        </row>
        <row r="2156">
          <cell r="S2156">
            <v>174000</v>
          </cell>
          <cell r="T2156">
            <v>34000</v>
          </cell>
          <cell r="U2156">
            <v>808000</v>
          </cell>
          <cell r="W2156" t="str">
            <v>SASS</v>
          </cell>
          <cell r="Z2156">
            <v>1016000</v>
          </cell>
          <cell r="AB2156" t="str">
            <v>MAIN_UNIT</v>
          </cell>
        </row>
        <row r="2157">
          <cell r="S2157">
            <v>174000</v>
          </cell>
          <cell r="T2157">
            <v>34000</v>
          </cell>
          <cell r="U2157">
            <v>1420000</v>
          </cell>
          <cell r="W2157" t="str">
            <v>SASS</v>
          </cell>
          <cell r="Z2157">
            <v>1628000</v>
          </cell>
          <cell r="AB2157" t="str">
            <v>MAIN_UNIT</v>
          </cell>
        </row>
        <row r="2158">
          <cell r="S2158">
            <v>174000</v>
          </cell>
          <cell r="T2158">
            <v>34000</v>
          </cell>
          <cell r="U2158">
            <v>1978500</v>
          </cell>
          <cell r="W2158" t="str">
            <v>SASS</v>
          </cell>
          <cell r="Z2158">
            <v>2186500</v>
          </cell>
          <cell r="AB2158" t="str">
            <v>PANEL</v>
          </cell>
        </row>
        <row r="2159">
          <cell r="S2159">
            <v>99000</v>
          </cell>
          <cell r="T2159">
            <v>34000</v>
          </cell>
          <cell r="U2159">
            <v>244000</v>
          </cell>
          <cell r="W2159" t="str">
            <v>SASS</v>
          </cell>
          <cell r="Z2159">
            <v>377000</v>
          </cell>
          <cell r="AB2159" t="str">
            <v>REMOTE_CONTROL</v>
          </cell>
        </row>
        <row r="2160">
          <cell r="S2160">
            <v>174000</v>
          </cell>
          <cell r="T2160">
            <v>34000</v>
          </cell>
          <cell r="U2160">
            <v>875500</v>
          </cell>
          <cell r="W2160" t="str">
            <v>SASS</v>
          </cell>
          <cell r="Z2160">
            <v>1083500</v>
          </cell>
          <cell r="AB2160" t="str">
            <v>MAIN_UNIT</v>
          </cell>
        </row>
        <row r="2161">
          <cell r="S2161">
            <v>153000</v>
          </cell>
          <cell r="T2161">
            <v>34000</v>
          </cell>
          <cell r="U2161">
            <v>704000</v>
          </cell>
          <cell r="W2161" t="str">
            <v>SASS</v>
          </cell>
          <cell r="Z2161">
            <v>891000</v>
          </cell>
          <cell r="AB2161" t="str">
            <v>PANEL</v>
          </cell>
        </row>
        <row r="2162">
          <cell r="S2162">
            <v>153000</v>
          </cell>
          <cell r="T2162">
            <v>34000</v>
          </cell>
          <cell r="U2162">
            <v>704000</v>
          </cell>
          <cell r="W2162" t="str">
            <v>SASS</v>
          </cell>
          <cell r="Z2162">
            <v>891000</v>
          </cell>
          <cell r="AB2162" t="str">
            <v>PANEL</v>
          </cell>
        </row>
        <row r="2163">
          <cell r="S2163">
            <v>153000</v>
          </cell>
          <cell r="T2163">
            <v>34000</v>
          </cell>
          <cell r="U2163">
            <v>704000</v>
          </cell>
          <cell r="W2163" t="str">
            <v>SASS</v>
          </cell>
          <cell r="Z2163">
            <v>891000</v>
          </cell>
          <cell r="AB2163" t="str">
            <v>PANEL</v>
          </cell>
        </row>
        <row r="2164">
          <cell r="S2164">
            <v>153000</v>
          </cell>
          <cell r="T2164">
            <v>34000</v>
          </cell>
          <cell r="U2164">
            <v>704000</v>
          </cell>
          <cell r="W2164" t="str">
            <v>SASS</v>
          </cell>
          <cell r="Z2164">
            <v>891000</v>
          </cell>
          <cell r="AB2164" t="str">
            <v>PANEL</v>
          </cell>
        </row>
        <row r="2165">
          <cell r="S2165">
            <v>174000</v>
          </cell>
          <cell r="T2165">
            <v>34000</v>
          </cell>
          <cell r="U2165">
            <v>875500</v>
          </cell>
          <cell r="W2165" t="str">
            <v>SASS</v>
          </cell>
          <cell r="Z2165">
            <v>1083500</v>
          </cell>
          <cell r="AB2165" t="str">
            <v>MAIN_UNIT</v>
          </cell>
        </row>
        <row r="2166">
          <cell r="S2166">
            <v>174000</v>
          </cell>
          <cell r="T2166">
            <v>34000</v>
          </cell>
          <cell r="U2166">
            <v>875500</v>
          </cell>
          <cell r="W2166" t="str">
            <v>SASS</v>
          </cell>
          <cell r="Z2166">
            <v>1083500</v>
          </cell>
          <cell r="AB2166" t="str">
            <v>MAIN_UNIT</v>
          </cell>
        </row>
        <row r="2167">
          <cell r="S2167">
            <v>153000</v>
          </cell>
          <cell r="T2167">
            <v>34000</v>
          </cell>
          <cell r="U2167">
            <v>875500</v>
          </cell>
          <cell r="W2167" t="str">
            <v>SASS</v>
          </cell>
          <cell r="Z2167">
            <v>1062500</v>
          </cell>
          <cell r="AB2167" t="str">
            <v>MAIN_UNIT</v>
          </cell>
        </row>
        <row r="2168">
          <cell r="S2168">
            <v>174000</v>
          </cell>
          <cell r="T2168">
            <v>34000</v>
          </cell>
          <cell r="U2168">
            <v>1323000</v>
          </cell>
          <cell r="W2168" t="str">
            <v>SASS</v>
          </cell>
          <cell r="Z2168">
            <v>1531000</v>
          </cell>
          <cell r="AB2168" t="str">
            <v>MAIN_UNIT</v>
          </cell>
        </row>
        <row r="2169">
          <cell r="S2169">
            <v>174000</v>
          </cell>
          <cell r="T2169">
            <v>34000</v>
          </cell>
          <cell r="U2169">
            <v>1323000</v>
          </cell>
          <cell r="W2169" t="str">
            <v>SASS</v>
          </cell>
          <cell r="Z2169">
            <v>1531000</v>
          </cell>
          <cell r="AB2169" t="str">
            <v>MAIN_UNIT</v>
          </cell>
        </row>
        <row r="2170">
          <cell r="S2170">
            <v>174000</v>
          </cell>
          <cell r="T2170">
            <v>34000</v>
          </cell>
          <cell r="U2170">
            <v>1323000</v>
          </cell>
          <cell r="W2170" t="str">
            <v>SASS</v>
          </cell>
          <cell r="Z2170">
            <v>1531000</v>
          </cell>
          <cell r="AB2170" t="str">
            <v>MAIN_UNIT</v>
          </cell>
        </row>
        <row r="2171">
          <cell r="S2171">
            <v>153000</v>
          </cell>
          <cell r="T2171">
            <v>34000</v>
          </cell>
          <cell r="U2171">
            <v>1049501</v>
          </cell>
          <cell r="W2171" t="str">
            <v>SASS</v>
          </cell>
          <cell r="Z2171">
            <v>1236501</v>
          </cell>
          <cell r="AB2171" t="str">
            <v>MAIN_UNIT</v>
          </cell>
        </row>
        <row r="2172">
          <cell r="S2172">
            <v>174000</v>
          </cell>
          <cell r="T2172">
            <v>34000</v>
          </cell>
          <cell r="U2172">
            <v>1323000</v>
          </cell>
          <cell r="W2172" t="str">
            <v>SASS</v>
          </cell>
          <cell r="Z2172">
            <v>1531000</v>
          </cell>
          <cell r="AB2172" t="str">
            <v>PANEL</v>
          </cell>
        </row>
        <row r="2173">
          <cell r="S2173">
            <v>0</v>
          </cell>
          <cell r="T2173">
            <v>0</v>
          </cell>
          <cell r="U2173">
            <v>324000</v>
          </cell>
          <cell r="W2173" t="str">
            <v>SASS</v>
          </cell>
          <cell r="Z2173">
            <v>324000</v>
          </cell>
          <cell r="AB2173" t="str">
            <v>TAPE</v>
          </cell>
        </row>
        <row r="2174">
          <cell r="S2174">
            <v>153000</v>
          </cell>
          <cell r="T2174">
            <v>34000</v>
          </cell>
          <cell r="U2174">
            <v>1049501</v>
          </cell>
          <cell r="W2174" t="str">
            <v>SASS</v>
          </cell>
          <cell r="Z2174">
            <v>1236501</v>
          </cell>
          <cell r="AB2174" t="str">
            <v>PANEL</v>
          </cell>
        </row>
        <row r="2175">
          <cell r="S2175">
            <v>0</v>
          </cell>
          <cell r="T2175">
            <v>0</v>
          </cell>
          <cell r="U2175">
            <v>324000</v>
          </cell>
          <cell r="W2175" t="str">
            <v>SASS</v>
          </cell>
          <cell r="Z2175">
            <v>324000</v>
          </cell>
          <cell r="AB2175" t="str">
            <v>TAPE</v>
          </cell>
        </row>
        <row r="2176">
          <cell r="S2176">
            <v>174000</v>
          </cell>
          <cell r="T2176">
            <v>34000</v>
          </cell>
          <cell r="U2176">
            <v>263000</v>
          </cell>
          <cell r="W2176" t="str">
            <v>SASS</v>
          </cell>
          <cell r="Z2176">
            <v>471000</v>
          </cell>
          <cell r="AB2176" t="str">
            <v>POWER_UNIT</v>
          </cell>
        </row>
        <row r="2177">
          <cell r="S2177">
            <v>99000</v>
          </cell>
          <cell r="T2177">
            <v>34000</v>
          </cell>
          <cell r="U2177">
            <v>0</v>
          </cell>
          <cell r="W2177" t="str">
            <v>SASS</v>
          </cell>
          <cell r="Z2177">
            <v>133000</v>
          </cell>
        </row>
        <row r="2178">
          <cell r="S2178">
            <v>174000</v>
          </cell>
          <cell r="T2178">
            <v>34000</v>
          </cell>
          <cell r="U2178">
            <v>1323000</v>
          </cell>
          <cell r="W2178" t="str">
            <v>SASS</v>
          </cell>
          <cell r="Z2178">
            <v>1531000</v>
          </cell>
          <cell r="AB2178" t="str">
            <v>PANEL</v>
          </cell>
        </row>
        <row r="2179">
          <cell r="S2179">
            <v>98000</v>
          </cell>
          <cell r="T2179">
            <v>34000</v>
          </cell>
          <cell r="U2179">
            <v>0</v>
          </cell>
          <cell r="W2179" t="str">
            <v>SASS</v>
          </cell>
          <cell r="Z2179">
            <v>132000</v>
          </cell>
        </row>
        <row r="2180">
          <cell r="S2180">
            <v>99000</v>
          </cell>
          <cell r="T2180">
            <v>34000</v>
          </cell>
          <cell r="U2180">
            <v>0</v>
          </cell>
          <cell r="W2180" t="str">
            <v>SASS</v>
          </cell>
          <cell r="Z2180">
            <v>133000</v>
          </cell>
        </row>
        <row r="2181">
          <cell r="S2181">
            <v>174000</v>
          </cell>
          <cell r="T2181">
            <v>34000</v>
          </cell>
          <cell r="U2181">
            <v>875500</v>
          </cell>
          <cell r="W2181" t="str">
            <v>SASS</v>
          </cell>
          <cell r="Z2181">
            <v>1083500</v>
          </cell>
          <cell r="AB2181" t="str">
            <v>MAIN_UNIT</v>
          </cell>
        </row>
        <row r="2182">
          <cell r="S2182">
            <v>153000</v>
          </cell>
          <cell r="T2182">
            <v>34000</v>
          </cell>
          <cell r="U2182">
            <v>875500</v>
          </cell>
          <cell r="W2182" t="str">
            <v>SASS</v>
          </cell>
          <cell r="Z2182">
            <v>1062500</v>
          </cell>
          <cell r="AB2182" t="str">
            <v>MAIN_UNIT</v>
          </cell>
        </row>
        <row r="2183">
          <cell r="S2183">
            <v>0</v>
          </cell>
          <cell r="T2183">
            <v>0</v>
          </cell>
          <cell r="U2183">
            <v>131000</v>
          </cell>
          <cell r="W2183" t="str">
            <v>SASS</v>
          </cell>
          <cell r="Z2183">
            <v>131000</v>
          </cell>
          <cell r="AB2183" t="str">
            <v>SPEAKER</v>
          </cell>
        </row>
        <row r="2184">
          <cell r="S2184">
            <v>174000</v>
          </cell>
          <cell r="T2184">
            <v>34000</v>
          </cell>
          <cell r="U2184">
            <v>1420000</v>
          </cell>
          <cell r="W2184" t="str">
            <v>SASS</v>
          </cell>
          <cell r="Z2184">
            <v>1628000</v>
          </cell>
          <cell r="AB2184" t="str">
            <v>MAIN_UNIT</v>
          </cell>
        </row>
        <row r="2185">
          <cell r="S2185">
            <v>153000</v>
          </cell>
          <cell r="T2185">
            <v>34000</v>
          </cell>
          <cell r="U2185">
            <v>1049501</v>
          </cell>
          <cell r="W2185" t="str">
            <v>SASS</v>
          </cell>
          <cell r="Z2185">
            <v>1236501</v>
          </cell>
          <cell r="AB2185" t="str">
            <v>MAIN_UNIT</v>
          </cell>
        </row>
        <row r="2186">
          <cell r="S2186">
            <v>0</v>
          </cell>
          <cell r="T2186">
            <v>0</v>
          </cell>
          <cell r="U2186">
            <v>28000</v>
          </cell>
          <cell r="W2186" t="str">
            <v>SASS</v>
          </cell>
          <cell r="Z2186">
            <v>28000</v>
          </cell>
          <cell r="AB2186" t="str">
            <v>LVDS_WIRE</v>
          </cell>
        </row>
        <row r="2187">
          <cell r="S2187">
            <v>174000</v>
          </cell>
          <cell r="T2187">
            <v>34000</v>
          </cell>
          <cell r="U2187">
            <v>1049501</v>
          </cell>
          <cell r="W2187" t="str">
            <v>SASS</v>
          </cell>
          <cell r="Z2187">
            <v>1257501</v>
          </cell>
          <cell r="AB2187" t="str">
            <v>PANEL</v>
          </cell>
        </row>
        <row r="2188">
          <cell r="S2188">
            <v>153000</v>
          </cell>
          <cell r="T2188">
            <v>34000</v>
          </cell>
          <cell r="U2188">
            <v>875500</v>
          </cell>
          <cell r="W2188" t="str">
            <v>SASS</v>
          </cell>
          <cell r="Z2188">
            <v>1062500</v>
          </cell>
          <cell r="AB2188" t="str">
            <v>MAIN_UNIT</v>
          </cell>
        </row>
        <row r="2189">
          <cell r="S2189">
            <v>98000</v>
          </cell>
          <cell r="T2189">
            <v>34000</v>
          </cell>
          <cell r="U2189">
            <v>0</v>
          </cell>
          <cell r="W2189" t="str">
            <v>SASS</v>
          </cell>
          <cell r="Z2189">
            <v>132000</v>
          </cell>
        </row>
        <row r="2190">
          <cell r="S2190">
            <v>153000</v>
          </cell>
          <cell r="T2190">
            <v>34000</v>
          </cell>
          <cell r="U2190">
            <v>0</v>
          </cell>
          <cell r="W2190" t="str">
            <v>SASS</v>
          </cell>
          <cell r="Z2190">
            <v>187000</v>
          </cell>
        </row>
        <row r="2191">
          <cell r="S2191">
            <v>99000</v>
          </cell>
          <cell r="T2191">
            <v>34000</v>
          </cell>
          <cell r="U2191">
            <v>0</v>
          </cell>
          <cell r="W2191" t="str">
            <v>SASS</v>
          </cell>
          <cell r="Z2191">
            <v>133000</v>
          </cell>
        </row>
        <row r="2192">
          <cell r="S2192">
            <v>174000</v>
          </cell>
          <cell r="T2192">
            <v>34000</v>
          </cell>
          <cell r="U2192">
            <v>499001</v>
          </cell>
          <cell r="W2192" t="str">
            <v>SASS</v>
          </cell>
          <cell r="Z2192">
            <v>707001</v>
          </cell>
          <cell r="AB2192" t="str">
            <v>MAIN_UNIT</v>
          </cell>
        </row>
        <row r="2193">
          <cell r="S2193">
            <v>174000</v>
          </cell>
          <cell r="T2193">
            <v>34000</v>
          </cell>
          <cell r="U2193">
            <v>1049501</v>
          </cell>
          <cell r="W2193" t="str">
            <v>SASS</v>
          </cell>
          <cell r="Z2193">
            <v>1257501</v>
          </cell>
          <cell r="AB2193" t="str">
            <v>PANEL</v>
          </cell>
        </row>
        <row r="2194">
          <cell r="S2194">
            <v>237000</v>
          </cell>
          <cell r="T2194">
            <v>34000</v>
          </cell>
          <cell r="U2194">
            <v>263000</v>
          </cell>
          <cell r="W2194" t="str">
            <v>SASS</v>
          </cell>
          <cell r="Z2194">
            <v>534000</v>
          </cell>
          <cell r="AB2194" t="str">
            <v>POWER_UNIT</v>
          </cell>
        </row>
        <row r="2195">
          <cell r="S2195">
            <v>153000</v>
          </cell>
          <cell r="T2195">
            <v>34000</v>
          </cell>
          <cell r="U2195">
            <v>704000</v>
          </cell>
          <cell r="W2195" t="str">
            <v>SASS</v>
          </cell>
          <cell r="Z2195">
            <v>891000</v>
          </cell>
          <cell r="AB2195" t="str">
            <v>PANEL</v>
          </cell>
        </row>
        <row r="2196">
          <cell r="S2196">
            <v>98000</v>
          </cell>
          <cell r="T2196">
            <v>34000</v>
          </cell>
          <cell r="U2196">
            <v>79000</v>
          </cell>
          <cell r="W2196" t="str">
            <v>SASS</v>
          </cell>
          <cell r="Z2196">
            <v>211000</v>
          </cell>
          <cell r="AB2196" t="str">
            <v>REMOTE_CONTROL</v>
          </cell>
        </row>
        <row r="2197">
          <cell r="S2197">
            <v>174000</v>
          </cell>
          <cell r="T2197">
            <v>34000</v>
          </cell>
          <cell r="U2197">
            <v>572500</v>
          </cell>
          <cell r="W2197" t="str">
            <v>SASS</v>
          </cell>
          <cell r="Z2197">
            <v>780500</v>
          </cell>
          <cell r="AB2197" t="str">
            <v>MAIN_UNIT</v>
          </cell>
        </row>
        <row r="2198">
          <cell r="S2198">
            <v>174000</v>
          </cell>
          <cell r="T2198">
            <v>34000</v>
          </cell>
          <cell r="U2198">
            <v>1049501</v>
          </cell>
          <cell r="W2198" t="str">
            <v>SASS</v>
          </cell>
          <cell r="Z2198">
            <v>1257501</v>
          </cell>
          <cell r="AB2198" t="str">
            <v>PANEL</v>
          </cell>
        </row>
        <row r="2199">
          <cell r="S2199">
            <v>174000</v>
          </cell>
          <cell r="T2199">
            <v>34000</v>
          </cell>
          <cell r="U2199">
            <v>1537000</v>
          </cell>
          <cell r="W2199" t="str">
            <v>SASS</v>
          </cell>
          <cell r="Z2199">
            <v>1745000</v>
          </cell>
          <cell r="AB2199" t="str">
            <v>PANEL</v>
          </cell>
        </row>
        <row r="2200">
          <cell r="S2200">
            <v>174000</v>
          </cell>
          <cell r="T2200">
            <v>34000</v>
          </cell>
          <cell r="U2200">
            <v>2142000</v>
          </cell>
          <cell r="W2200" t="str">
            <v>SASS</v>
          </cell>
          <cell r="Z2200">
            <v>2350000</v>
          </cell>
          <cell r="AB2200" t="str">
            <v>PANEL</v>
          </cell>
        </row>
        <row r="2201">
          <cell r="S2201">
            <v>174000</v>
          </cell>
          <cell r="T2201">
            <v>34000</v>
          </cell>
          <cell r="U2201">
            <v>1978500</v>
          </cell>
          <cell r="W2201" t="str">
            <v>SASS</v>
          </cell>
          <cell r="Z2201">
            <v>2186500</v>
          </cell>
          <cell r="AB2201" t="str">
            <v>PANEL</v>
          </cell>
        </row>
        <row r="2202">
          <cell r="S2202">
            <v>174000</v>
          </cell>
          <cell r="T2202">
            <v>34000</v>
          </cell>
          <cell r="U2202">
            <v>572500</v>
          </cell>
          <cell r="W2202" t="str">
            <v>SASS</v>
          </cell>
          <cell r="Z2202">
            <v>780500</v>
          </cell>
          <cell r="AB2202" t="str">
            <v>MAIN_UNIT</v>
          </cell>
        </row>
        <row r="2203">
          <cell r="S2203">
            <v>174000</v>
          </cell>
          <cell r="T2203">
            <v>34000</v>
          </cell>
          <cell r="U2203">
            <v>572500</v>
          </cell>
          <cell r="W2203" t="str">
            <v>SASS</v>
          </cell>
          <cell r="Z2203">
            <v>780500</v>
          </cell>
          <cell r="AB2203" t="str">
            <v>MAIN_UNIT</v>
          </cell>
        </row>
        <row r="2204">
          <cell r="S2204">
            <v>174000</v>
          </cell>
          <cell r="T2204">
            <v>34000</v>
          </cell>
          <cell r="U2204">
            <v>572500</v>
          </cell>
          <cell r="W2204" t="str">
            <v>SASS</v>
          </cell>
          <cell r="Z2204">
            <v>780500</v>
          </cell>
          <cell r="AB2204" t="str">
            <v>MAIN_UNIT</v>
          </cell>
        </row>
        <row r="2205">
          <cell r="S2205">
            <v>174000</v>
          </cell>
          <cell r="T2205">
            <v>34000</v>
          </cell>
          <cell r="U2205">
            <v>572500</v>
          </cell>
          <cell r="W2205" t="str">
            <v>SASS</v>
          </cell>
          <cell r="Z2205">
            <v>780500</v>
          </cell>
          <cell r="AB2205" t="str">
            <v>MAIN_UNIT</v>
          </cell>
        </row>
        <row r="2206">
          <cell r="S2206">
            <v>174000</v>
          </cell>
          <cell r="T2206">
            <v>34000</v>
          </cell>
          <cell r="U2206">
            <v>572500</v>
          </cell>
          <cell r="W2206" t="str">
            <v>SASS</v>
          </cell>
          <cell r="Z2206">
            <v>780500</v>
          </cell>
          <cell r="AB2206" t="str">
            <v>MAIN_UNIT</v>
          </cell>
        </row>
        <row r="2207">
          <cell r="S2207">
            <v>174000</v>
          </cell>
          <cell r="T2207">
            <v>34000</v>
          </cell>
          <cell r="U2207">
            <v>572500</v>
          </cell>
          <cell r="W2207" t="str">
            <v>SASS</v>
          </cell>
          <cell r="Z2207">
            <v>780500</v>
          </cell>
          <cell r="AB2207" t="str">
            <v>MAIN_UNIT</v>
          </cell>
        </row>
        <row r="2208">
          <cell r="S2208">
            <v>174000</v>
          </cell>
          <cell r="T2208">
            <v>34000</v>
          </cell>
          <cell r="U2208">
            <v>572500</v>
          </cell>
          <cell r="W2208" t="str">
            <v>SASS</v>
          </cell>
          <cell r="Z2208">
            <v>780500</v>
          </cell>
          <cell r="AB2208" t="str">
            <v>MAIN_UNIT</v>
          </cell>
        </row>
        <row r="2209">
          <cell r="S2209">
            <v>174000</v>
          </cell>
          <cell r="T2209">
            <v>34000</v>
          </cell>
          <cell r="U2209">
            <v>572500</v>
          </cell>
          <cell r="W2209" t="str">
            <v>SASS</v>
          </cell>
          <cell r="Z2209">
            <v>780500</v>
          </cell>
          <cell r="AB2209" t="str">
            <v>MAIN_UNIT</v>
          </cell>
        </row>
        <row r="2210">
          <cell r="S2210">
            <v>153000</v>
          </cell>
          <cell r="T2210">
            <v>34000</v>
          </cell>
          <cell r="U2210">
            <v>704000</v>
          </cell>
          <cell r="W2210" t="str">
            <v>SASS</v>
          </cell>
          <cell r="Z2210">
            <v>891000</v>
          </cell>
          <cell r="AB2210" t="str">
            <v>PANEL</v>
          </cell>
        </row>
        <row r="2211">
          <cell r="S2211">
            <v>153000</v>
          </cell>
          <cell r="T2211">
            <v>34000</v>
          </cell>
          <cell r="U2211">
            <v>704000</v>
          </cell>
          <cell r="W2211" t="str">
            <v>SASS</v>
          </cell>
          <cell r="Z2211">
            <v>891000</v>
          </cell>
          <cell r="AB2211" t="str">
            <v>PANEL</v>
          </cell>
        </row>
        <row r="2212">
          <cell r="S2212">
            <v>153000</v>
          </cell>
          <cell r="T2212">
            <v>34000</v>
          </cell>
          <cell r="U2212">
            <v>704000</v>
          </cell>
          <cell r="W2212" t="str">
            <v>SASS</v>
          </cell>
          <cell r="Z2212">
            <v>891000</v>
          </cell>
          <cell r="AB2212" t="str">
            <v>PANEL</v>
          </cell>
        </row>
        <row r="2213">
          <cell r="S2213">
            <v>153000</v>
          </cell>
          <cell r="T2213">
            <v>34000</v>
          </cell>
          <cell r="U2213">
            <v>704000</v>
          </cell>
          <cell r="W2213" t="str">
            <v>SASS</v>
          </cell>
          <cell r="Z2213">
            <v>891000</v>
          </cell>
          <cell r="AB2213" t="str">
            <v>PANEL</v>
          </cell>
        </row>
        <row r="2214">
          <cell r="S2214">
            <v>153000</v>
          </cell>
          <cell r="T2214">
            <v>34000</v>
          </cell>
          <cell r="U2214">
            <v>704000</v>
          </cell>
          <cell r="W2214" t="str">
            <v>SASS</v>
          </cell>
          <cell r="Z2214">
            <v>891000</v>
          </cell>
          <cell r="AB2214" t="str">
            <v>PANEL</v>
          </cell>
        </row>
        <row r="2215">
          <cell r="S2215">
            <v>153000</v>
          </cell>
          <cell r="T2215">
            <v>34000</v>
          </cell>
          <cell r="U2215">
            <v>704000</v>
          </cell>
          <cell r="W2215" t="str">
            <v>SASS</v>
          </cell>
          <cell r="Z2215">
            <v>891000</v>
          </cell>
          <cell r="AB2215" t="str">
            <v>PANEL</v>
          </cell>
        </row>
        <row r="2216">
          <cell r="S2216">
            <v>153000</v>
          </cell>
          <cell r="T2216">
            <v>34000</v>
          </cell>
          <cell r="U2216">
            <v>704000</v>
          </cell>
          <cell r="W2216" t="str">
            <v>SASS</v>
          </cell>
          <cell r="Z2216">
            <v>891000</v>
          </cell>
          <cell r="AB2216" t="str">
            <v>PANEL</v>
          </cell>
        </row>
        <row r="2217">
          <cell r="S2217">
            <v>153000</v>
          </cell>
          <cell r="T2217">
            <v>34000</v>
          </cell>
          <cell r="U2217">
            <v>704000</v>
          </cell>
          <cell r="W2217" t="str">
            <v>SASS</v>
          </cell>
          <cell r="Z2217">
            <v>891000</v>
          </cell>
          <cell r="AB2217" t="str">
            <v>PANEL</v>
          </cell>
        </row>
        <row r="2218">
          <cell r="S2218">
            <v>153000</v>
          </cell>
          <cell r="T2218">
            <v>34000</v>
          </cell>
          <cell r="U2218">
            <v>704000</v>
          </cell>
          <cell r="W2218" t="str">
            <v>SASS</v>
          </cell>
          <cell r="Z2218">
            <v>891000</v>
          </cell>
          <cell r="AB2218" t="str">
            <v>PANEL</v>
          </cell>
        </row>
        <row r="2219">
          <cell r="S2219">
            <v>153000</v>
          </cell>
          <cell r="T2219">
            <v>34000</v>
          </cell>
          <cell r="U2219">
            <v>704000</v>
          </cell>
          <cell r="W2219" t="str">
            <v>SASS</v>
          </cell>
          <cell r="Z2219">
            <v>891000</v>
          </cell>
          <cell r="AB2219" t="str">
            <v>PANEL</v>
          </cell>
        </row>
        <row r="2220">
          <cell r="S2220">
            <v>99000</v>
          </cell>
          <cell r="T2220">
            <v>34000</v>
          </cell>
          <cell r="U2220">
            <v>0</v>
          </cell>
          <cell r="W2220" t="str">
            <v>SASS</v>
          </cell>
          <cell r="Z2220">
            <v>133000</v>
          </cell>
        </row>
        <row r="2221">
          <cell r="S2221">
            <v>174000</v>
          </cell>
          <cell r="T2221">
            <v>34000</v>
          </cell>
          <cell r="U2221">
            <v>1049501</v>
          </cell>
          <cell r="W2221" t="str">
            <v>SASS</v>
          </cell>
          <cell r="Z2221">
            <v>1257501</v>
          </cell>
          <cell r="AB2221" t="str">
            <v>PANEL</v>
          </cell>
        </row>
        <row r="2222">
          <cell r="S2222">
            <v>99000</v>
          </cell>
          <cell r="T2222">
            <v>34000</v>
          </cell>
          <cell r="U2222">
            <v>0</v>
          </cell>
          <cell r="W2222" t="str">
            <v>SASS</v>
          </cell>
          <cell r="Z2222">
            <v>133000</v>
          </cell>
        </row>
        <row r="2223">
          <cell r="S2223">
            <v>153000</v>
          </cell>
          <cell r="T2223">
            <v>34000</v>
          </cell>
          <cell r="U2223">
            <v>704000</v>
          </cell>
          <cell r="W2223" t="str">
            <v>SASS</v>
          </cell>
          <cell r="Z2223">
            <v>891000</v>
          </cell>
          <cell r="AB2223" t="str">
            <v>PANEL</v>
          </cell>
        </row>
        <row r="2224">
          <cell r="S2224">
            <v>99000</v>
          </cell>
          <cell r="T2224">
            <v>34000</v>
          </cell>
          <cell r="U2224">
            <v>0</v>
          </cell>
          <cell r="W2224" t="str">
            <v>SASS</v>
          </cell>
          <cell r="Z2224">
            <v>133000</v>
          </cell>
        </row>
        <row r="2225">
          <cell r="S2225">
            <v>153000</v>
          </cell>
          <cell r="T2225">
            <v>34000</v>
          </cell>
          <cell r="U2225">
            <v>534501</v>
          </cell>
          <cell r="W2225" t="str">
            <v>SASS</v>
          </cell>
          <cell r="Z2225">
            <v>721501</v>
          </cell>
          <cell r="AB2225" t="str">
            <v>MAIN_UNIT</v>
          </cell>
        </row>
        <row r="2226">
          <cell r="S2226">
            <v>174000</v>
          </cell>
          <cell r="T2226">
            <v>34000</v>
          </cell>
          <cell r="U2226">
            <v>572500</v>
          </cell>
          <cell r="W2226" t="str">
            <v>SASS</v>
          </cell>
          <cell r="Z2226">
            <v>780500</v>
          </cell>
          <cell r="AB2226" t="str">
            <v>MAIN_UNIT</v>
          </cell>
        </row>
        <row r="2227">
          <cell r="S2227">
            <v>174000</v>
          </cell>
          <cell r="T2227">
            <v>34000</v>
          </cell>
          <cell r="U2227">
            <v>1323000</v>
          </cell>
          <cell r="W2227" t="str">
            <v>SASS</v>
          </cell>
          <cell r="Z2227">
            <v>1531000</v>
          </cell>
          <cell r="AB2227" t="str">
            <v>MAIN_UNIT</v>
          </cell>
        </row>
        <row r="2228">
          <cell r="S2228">
            <v>174000</v>
          </cell>
          <cell r="T2228">
            <v>34000</v>
          </cell>
          <cell r="U2228">
            <v>1323000</v>
          </cell>
          <cell r="W2228" t="str">
            <v>SASS</v>
          </cell>
          <cell r="Z2228">
            <v>1531000</v>
          </cell>
          <cell r="AB2228" t="str">
            <v>MAIN_UNIT</v>
          </cell>
        </row>
        <row r="2229">
          <cell r="S2229">
            <v>174000</v>
          </cell>
          <cell r="T2229">
            <v>34000</v>
          </cell>
          <cell r="U2229">
            <v>1323000</v>
          </cell>
          <cell r="W2229" t="str">
            <v>SASS</v>
          </cell>
          <cell r="Z2229">
            <v>1531000</v>
          </cell>
          <cell r="AB2229" t="str">
            <v>MAIN_UNIT</v>
          </cell>
        </row>
        <row r="2230">
          <cell r="S2230">
            <v>174000</v>
          </cell>
          <cell r="T2230">
            <v>34000</v>
          </cell>
          <cell r="U2230">
            <v>1323000</v>
          </cell>
          <cell r="W2230" t="str">
            <v>SASS</v>
          </cell>
          <cell r="Z2230">
            <v>1531000</v>
          </cell>
          <cell r="AB2230" t="str">
            <v>MAIN_UNIT</v>
          </cell>
        </row>
        <row r="2231">
          <cell r="S2231">
            <v>174000</v>
          </cell>
          <cell r="T2231">
            <v>34000</v>
          </cell>
          <cell r="U2231">
            <v>1323000</v>
          </cell>
          <cell r="W2231" t="str">
            <v>SASS</v>
          </cell>
          <cell r="Z2231">
            <v>1531000</v>
          </cell>
          <cell r="AB2231" t="str">
            <v>MAIN_UNIT</v>
          </cell>
        </row>
        <row r="2232">
          <cell r="S2232">
            <v>153000</v>
          </cell>
          <cell r="T2232">
            <v>34000</v>
          </cell>
          <cell r="U2232">
            <v>875500</v>
          </cell>
          <cell r="W2232" t="str">
            <v>SASS</v>
          </cell>
          <cell r="Z2232">
            <v>1062500</v>
          </cell>
          <cell r="AB2232" t="str">
            <v>MAIN_UNIT</v>
          </cell>
        </row>
        <row r="2233">
          <cell r="S2233">
            <v>153000</v>
          </cell>
          <cell r="T2233">
            <v>34000</v>
          </cell>
          <cell r="U2233">
            <v>875500</v>
          </cell>
          <cell r="W2233" t="str">
            <v>SASS</v>
          </cell>
          <cell r="Z2233">
            <v>1062500</v>
          </cell>
          <cell r="AB2233" t="str">
            <v>MAIN_UNIT</v>
          </cell>
        </row>
        <row r="2234">
          <cell r="S2234">
            <v>153000</v>
          </cell>
          <cell r="T2234">
            <v>34000</v>
          </cell>
          <cell r="U2234">
            <v>875500</v>
          </cell>
          <cell r="W2234" t="str">
            <v>SASS</v>
          </cell>
          <cell r="Z2234">
            <v>1062500</v>
          </cell>
          <cell r="AB2234" t="str">
            <v>MAIN_UNIT</v>
          </cell>
        </row>
        <row r="2235">
          <cell r="S2235">
            <v>99000</v>
          </cell>
          <cell r="T2235">
            <v>34000</v>
          </cell>
          <cell r="U2235">
            <v>0</v>
          </cell>
          <cell r="W2235" t="str">
            <v>SASS</v>
          </cell>
          <cell r="Z2235">
            <v>133000</v>
          </cell>
        </row>
        <row r="2236">
          <cell r="S2236">
            <v>237000</v>
          </cell>
          <cell r="T2236">
            <v>34000</v>
          </cell>
          <cell r="U2236">
            <v>4659000</v>
          </cell>
          <cell r="W2236" t="str">
            <v>SASS</v>
          </cell>
          <cell r="Z2236">
            <v>4930000</v>
          </cell>
          <cell r="AB2236" t="str">
            <v>PANEL</v>
          </cell>
        </row>
        <row r="2237">
          <cell r="S2237">
            <v>99000</v>
          </cell>
          <cell r="T2237">
            <v>34000</v>
          </cell>
          <cell r="U2237">
            <v>0</v>
          </cell>
          <cell r="W2237" t="str">
            <v>SASS</v>
          </cell>
          <cell r="Z2237">
            <v>133000</v>
          </cell>
        </row>
        <row r="2238">
          <cell r="S2238">
            <v>99000</v>
          </cell>
          <cell r="T2238">
            <v>34000</v>
          </cell>
          <cell r="U2238">
            <v>0</v>
          </cell>
          <cell r="W2238" t="str">
            <v>SASS</v>
          </cell>
          <cell r="Z2238">
            <v>133000</v>
          </cell>
        </row>
        <row r="2239">
          <cell r="S2239">
            <v>153000</v>
          </cell>
          <cell r="T2239">
            <v>34000</v>
          </cell>
          <cell r="U2239">
            <v>875500</v>
          </cell>
          <cell r="W2239" t="str">
            <v>SASS</v>
          </cell>
          <cell r="Z2239">
            <v>1062500</v>
          </cell>
          <cell r="AB2239" t="str">
            <v>MAIN_UNIT</v>
          </cell>
        </row>
        <row r="2240">
          <cell r="S2240">
            <v>153000</v>
          </cell>
          <cell r="T2240">
            <v>34000</v>
          </cell>
          <cell r="U2240">
            <v>875500</v>
          </cell>
          <cell r="W2240" t="str">
            <v>SASS</v>
          </cell>
          <cell r="Z2240">
            <v>1062500</v>
          </cell>
          <cell r="AB2240" t="str">
            <v>MAIN_UNIT</v>
          </cell>
        </row>
        <row r="2241">
          <cell r="S2241">
            <v>153000</v>
          </cell>
          <cell r="T2241">
            <v>34000</v>
          </cell>
          <cell r="U2241">
            <v>875500</v>
          </cell>
          <cell r="W2241" t="str">
            <v>SASS</v>
          </cell>
          <cell r="Z2241">
            <v>1062500</v>
          </cell>
          <cell r="AB2241" t="str">
            <v>MAIN_UNIT</v>
          </cell>
        </row>
        <row r="2242">
          <cell r="S2242">
            <v>153000</v>
          </cell>
          <cell r="T2242">
            <v>34000</v>
          </cell>
          <cell r="U2242">
            <v>875500</v>
          </cell>
          <cell r="W2242" t="str">
            <v>SASS</v>
          </cell>
          <cell r="Z2242">
            <v>1062500</v>
          </cell>
          <cell r="AB2242" t="str">
            <v>MAIN_UNIT</v>
          </cell>
        </row>
        <row r="2243">
          <cell r="S2243">
            <v>174000</v>
          </cell>
          <cell r="T2243">
            <v>34000</v>
          </cell>
          <cell r="U2243">
            <v>499001</v>
          </cell>
          <cell r="W2243" t="str">
            <v>SASS</v>
          </cell>
          <cell r="Z2243">
            <v>707001</v>
          </cell>
          <cell r="AB2243" t="str">
            <v>MAIN_UNIT</v>
          </cell>
        </row>
        <row r="2244">
          <cell r="S2244">
            <v>99000</v>
          </cell>
          <cell r="T2244">
            <v>52000</v>
          </cell>
          <cell r="U2244">
            <v>0</v>
          </cell>
          <cell r="W2244" t="str">
            <v>SASS</v>
          </cell>
          <cell r="Z2244">
            <v>151000</v>
          </cell>
        </row>
        <row r="2245">
          <cell r="S2245">
            <v>99000</v>
          </cell>
          <cell r="T2245">
            <v>34000</v>
          </cell>
          <cell r="U2245">
            <v>0</v>
          </cell>
          <cell r="W2245" t="str">
            <v>SASS</v>
          </cell>
          <cell r="Z2245">
            <v>133000</v>
          </cell>
        </row>
        <row r="2246">
          <cell r="S2246">
            <v>99000</v>
          </cell>
          <cell r="T2246">
            <v>34000</v>
          </cell>
          <cell r="U2246">
            <v>0</v>
          </cell>
          <cell r="W2246" t="str">
            <v>SASS</v>
          </cell>
          <cell r="Z2246">
            <v>133000</v>
          </cell>
        </row>
        <row r="2247">
          <cell r="S2247">
            <v>153000</v>
          </cell>
          <cell r="T2247">
            <v>34000</v>
          </cell>
          <cell r="U2247">
            <v>875500</v>
          </cell>
          <cell r="W2247" t="str">
            <v>SASS</v>
          </cell>
          <cell r="Z2247">
            <v>1062500</v>
          </cell>
          <cell r="AB2247" t="str">
            <v>MAIN_UNIT</v>
          </cell>
        </row>
        <row r="2248">
          <cell r="S2248">
            <v>99000</v>
          </cell>
          <cell r="T2248">
            <v>0</v>
          </cell>
          <cell r="U2248">
            <v>0</v>
          </cell>
          <cell r="W2248" t="str">
            <v>SASS</v>
          </cell>
          <cell r="Z2248">
            <v>99000</v>
          </cell>
        </row>
        <row r="2249">
          <cell r="S2249">
            <v>174000</v>
          </cell>
          <cell r="T2249">
            <v>0</v>
          </cell>
          <cell r="U2249">
            <v>0</v>
          </cell>
          <cell r="W2249" t="str">
            <v>SASS</v>
          </cell>
          <cell r="Z2249">
            <v>174000</v>
          </cell>
        </row>
        <row r="2250">
          <cell r="S2250">
            <v>174000</v>
          </cell>
          <cell r="T2250">
            <v>0</v>
          </cell>
          <cell r="U2250">
            <v>1049501</v>
          </cell>
          <cell r="W2250" t="str">
            <v>SASS</v>
          </cell>
          <cell r="Z2250">
            <v>1223501</v>
          </cell>
          <cell r="AB2250" t="str">
            <v>PANEL</v>
          </cell>
        </row>
        <row r="2251">
          <cell r="S2251">
            <v>98000</v>
          </cell>
          <cell r="T2251">
            <v>0</v>
          </cell>
          <cell r="U2251">
            <v>0</v>
          </cell>
          <cell r="W2251" t="str">
            <v>SASS</v>
          </cell>
          <cell r="Z2251">
            <v>98000</v>
          </cell>
        </row>
        <row r="2252">
          <cell r="S2252">
            <v>98000</v>
          </cell>
          <cell r="T2252">
            <v>0</v>
          </cell>
          <cell r="U2252">
            <v>534501</v>
          </cell>
          <cell r="W2252" t="str">
            <v>SASS</v>
          </cell>
          <cell r="Z2252">
            <v>632501</v>
          </cell>
          <cell r="AB2252" t="str">
            <v>MAIN_UNIT</v>
          </cell>
        </row>
        <row r="2253">
          <cell r="S2253">
            <v>174000</v>
          </cell>
          <cell r="T2253">
            <v>34000</v>
          </cell>
          <cell r="U2253">
            <v>964500</v>
          </cell>
          <cell r="W2253" t="str">
            <v>SASS</v>
          </cell>
          <cell r="Z2253">
            <v>1172500</v>
          </cell>
          <cell r="AB2253" t="str">
            <v>PANEL</v>
          </cell>
        </row>
        <row r="2254">
          <cell r="S2254">
            <v>0</v>
          </cell>
          <cell r="T2254">
            <v>0</v>
          </cell>
          <cell r="U2254">
            <v>162000</v>
          </cell>
          <cell r="W2254" t="str">
            <v>SASS</v>
          </cell>
          <cell r="Z2254">
            <v>162000</v>
          </cell>
          <cell r="AB2254" t="str">
            <v>TAPE</v>
          </cell>
        </row>
        <row r="2255">
          <cell r="S2255">
            <v>98000</v>
          </cell>
          <cell r="T2255">
            <v>34000</v>
          </cell>
          <cell r="U2255">
            <v>0</v>
          </cell>
          <cell r="W2255" t="str">
            <v>SASS</v>
          </cell>
          <cell r="Z2255">
            <v>132000</v>
          </cell>
        </row>
        <row r="2256">
          <cell r="S2256">
            <v>174000</v>
          </cell>
          <cell r="T2256">
            <v>34000</v>
          </cell>
          <cell r="U2256">
            <v>1049501</v>
          </cell>
          <cell r="W2256" t="str">
            <v>SASS</v>
          </cell>
          <cell r="Z2256">
            <v>1257501</v>
          </cell>
          <cell r="AB2256" t="str">
            <v>PANEL</v>
          </cell>
        </row>
        <row r="2257">
          <cell r="S2257">
            <v>174000</v>
          </cell>
          <cell r="T2257">
            <v>34000</v>
          </cell>
          <cell r="U2257">
            <v>327500</v>
          </cell>
          <cell r="W2257" t="str">
            <v>SASS</v>
          </cell>
          <cell r="Z2257">
            <v>535500</v>
          </cell>
          <cell r="AB2257" t="str">
            <v>MAIN_UNIT</v>
          </cell>
        </row>
        <row r="2258">
          <cell r="S2258">
            <v>153000</v>
          </cell>
          <cell r="T2258">
            <v>34000</v>
          </cell>
          <cell r="U2258">
            <v>875500</v>
          </cell>
          <cell r="W2258" t="str">
            <v>SASS</v>
          </cell>
          <cell r="Z2258">
            <v>1062500</v>
          </cell>
          <cell r="AB2258" t="str">
            <v>MAIN_UNIT</v>
          </cell>
        </row>
        <row r="2259">
          <cell r="S2259">
            <v>153000</v>
          </cell>
          <cell r="T2259">
            <v>34000</v>
          </cell>
          <cell r="U2259">
            <v>0</v>
          </cell>
          <cell r="W2259" t="str">
            <v>SASS</v>
          </cell>
          <cell r="Z2259">
            <v>187000</v>
          </cell>
        </row>
        <row r="2260">
          <cell r="S2260">
            <v>174000</v>
          </cell>
          <cell r="T2260">
            <v>34000</v>
          </cell>
          <cell r="U2260">
            <v>0</v>
          </cell>
          <cell r="W2260" t="str">
            <v>SASS</v>
          </cell>
          <cell r="Z2260">
            <v>208000</v>
          </cell>
        </row>
        <row r="2261">
          <cell r="S2261">
            <v>174000</v>
          </cell>
          <cell r="T2261">
            <v>34000</v>
          </cell>
          <cell r="U2261">
            <v>0</v>
          </cell>
          <cell r="W2261" t="str">
            <v>SASS</v>
          </cell>
          <cell r="Z2261">
            <v>208000</v>
          </cell>
        </row>
        <row r="2262">
          <cell r="S2262">
            <v>174000</v>
          </cell>
          <cell r="T2262">
            <v>34000</v>
          </cell>
          <cell r="U2262">
            <v>875500</v>
          </cell>
          <cell r="W2262" t="str">
            <v>SASS</v>
          </cell>
          <cell r="Z2262">
            <v>1083500</v>
          </cell>
          <cell r="AB2262" t="str">
            <v>MAIN_UNIT</v>
          </cell>
        </row>
        <row r="2263">
          <cell r="S2263">
            <v>174000</v>
          </cell>
          <cell r="T2263">
            <v>34000</v>
          </cell>
          <cell r="U2263">
            <v>79000</v>
          </cell>
          <cell r="W2263" t="str">
            <v>SASS</v>
          </cell>
          <cell r="Z2263">
            <v>287000</v>
          </cell>
          <cell r="AB2263" t="str">
            <v>REMOTE_CONTROL</v>
          </cell>
        </row>
        <row r="2264">
          <cell r="S2264">
            <v>98000</v>
          </cell>
          <cell r="T2264">
            <v>34000</v>
          </cell>
          <cell r="U2264">
            <v>499001</v>
          </cell>
          <cell r="W2264" t="str">
            <v>SASS</v>
          </cell>
          <cell r="Z2264">
            <v>631001</v>
          </cell>
          <cell r="AB2264" t="str">
            <v>MAIN_UNIT</v>
          </cell>
        </row>
        <row r="2265">
          <cell r="S2265">
            <v>153000</v>
          </cell>
          <cell r="T2265">
            <v>52000</v>
          </cell>
          <cell r="U2265">
            <v>361500</v>
          </cell>
          <cell r="W2265" t="str">
            <v>SASS</v>
          </cell>
          <cell r="Z2265">
            <v>566500</v>
          </cell>
          <cell r="AB2265" t="str">
            <v>MAIN_UNIT</v>
          </cell>
        </row>
        <row r="2266">
          <cell r="S2266">
            <v>153000</v>
          </cell>
          <cell r="T2266">
            <v>34000</v>
          </cell>
          <cell r="U2266">
            <v>808000</v>
          </cell>
          <cell r="W2266" t="str">
            <v>SASS</v>
          </cell>
          <cell r="Z2266">
            <v>995000</v>
          </cell>
          <cell r="AB2266" t="str">
            <v>PANEL</v>
          </cell>
        </row>
        <row r="2267">
          <cell r="S2267">
            <v>174000</v>
          </cell>
          <cell r="T2267">
            <v>34000</v>
          </cell>
          <cell r="U2267">
            <v>1049501</v>
          </cell>
          <cell r="W2267" t="str">
            <v>SASS</v>
          </cell>
          <cell r="Z2267">
            <v>1257501</v>
          </cell>
          <cell r="AB2267" t="str">
            <v>PANEL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81E5-329A-445B-81E3-4CBEF91EE41F}">
  <dimension ref="A1:G1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14" sqref="M14"/>
    </sheetView>
  </sheetViews>
  <sheetFormatPr defaultRowHeight="15" x14ac:dyDescent="0.25"/>
  <cols>
    <col min="1" max="7" width="13.7109375" style="11" customWidth="1"/>
    <col min="8" max="16384" width="9.140625" style="11"/>
  </cols>
  <sheetData>
    <row r="1" spans="1:7" ht="18.75" x14ac:dyDescent="0.25">
      <c r="A1" s="19" t="s">
        <v>17</v>
      </c>
      <c r="B1" s="19"/>
      <c r="C1" s="19"/>
      <c r="D1" s="19"/>
      <c r="E1" s="19"/>
      <c r="F1" s="19"/>
      <c r="G1" s="19"/>
    </row>
    <row r="2" spans="1:7" x14ac:dyDescent="0.25">
      <c r="A2" s="20" t="s">
        <v>0</v>
      </c>
      <c r="B2" s="20"/>
      <c r="C2" s="20"/>
      <c r="D2" s="20"/>
      <c r="E2" s="20"/>
      <c r="F2" s="20"/>
      <c r="G2" s="20"/>
    </row>
    <row r="4" spans="1:7" x14ac:dyDescent="0.25">
      <c r="A4" s="18" t="s">
        <v>11</v>
      </c>
      <c r="B4" s="5" t="s">
        <v>12</v>
      </c>
      <c r="C4" s="6" t="s">
        <v>13</v>
      </c>
      <c r="D4" s="7" t="s">
        <v>14</v>
      </c>
      <c r="E4" s="8" t="s">
        <v>15</v>
      </c>
      <c r="F4" s="9" t="s">
        <v>16</v>
      </c>
      <c r="G4" s="10" t="s">
        <v>3</v>
      </c>
    </row>
    <row r="5" spans="1:7" x14ac:dyDescent="0.25">
      <c r="A5" s="21" t="s">
        <v>4</v>
      </c>
      <c r="B5" s="4" t="s">
        <v>1</v>
      </c>
      <c r="C5" s="12">
        <f>SUMIFS([1]result!$S:$S,[1]result!$W:$W,"GQS",[1]result!$AB:$AB,"PANEL")</f>
        <v>20729573</v>
      </c>
      <c r="D5" s="12">
        <f>SUMIFS([1]result!$T:$T,[1]result!$W:$W,"GQS",[1]result!$AB:$AB,"PANEL")</f>
        <v>10727850</v>
      </c>
      <c r="E5" s="12">
        <f>SUMIFS([1]result!$U:$U,[1]result!$W:$W,"GQS",[1]result!$AB:$AB,"PANEL")</f>
        <v>388516673</v>
      </c>
      <c r="F5" s="12">
        <f>SUMIFS([1]result!$Z:$Z,[1]result!$W:$W,"GQS",[1]result!$AB:$AB,"PANEL")</f>
        <v>419974096</v>
      </c>
      <c r="G5" s="12">
        <f>COUNTIFS([1]result!$W:$W,"GQS",[1]result!$AB:$AB,"PANEL")</f>
        <v>397</v>
      </c>
    </row>
    <row r="6" spans="1:7" x14ac:dyDescent="0.25">
      <c r="A6" s="21"/>
      <c r="B6" s="2" t="s">
        <v>5</v>
      </c>
      <c r="C6" s="13">
        <f>SUMIFS([1]result!$S:$S,[1]result!$W:$W,"GQS",[1]result!$AB:$AB,"MAIN_UNIT")</f>
        <v>18300944</v>
      </c>
      <c r="D6" s="13">
        <f>SUMIFS([1]result!$T:$T,[1]result!$W:$W,"GQS",[1]result!$AB:$AB,"MAIN_UNIT")</f>
        <v>11499600</v>
      </c>
      <c r="E6" s="13">
        <f>SUMIFS([1]result!$U:$U,[1]result!$W:$W,"GQS",[1]result!$AB:$AB,"MAIN_UNIT")</f>
        <v>176546085</v>
      </c>
      <c r="F6" s="13">
        <f>SUMIFS([1]result!$Z:$Z,[1]result!$W:$W,"GQS",[1]result!$AB:$AB,"MAIN_UNIT")</f>
        <v>206346629</v>
      </c>
      <c r="G6" s="13">
        <f>COUNTIFS([1]result!$W:$W,"GQS",[1]result!$AB:$AB,"MAIN_UNIT")</f>
        <v>395</v>
      </c>
    </row>
    <row r="7" spans="1:7" x14ac:dyDescent="0.25">
      <c r="A7" s="21"/>
      <c r="B7" s="1" t="s">
        <v>6</v>
      </c>
      <c r="C7" s="14">
        <f>SUMIFS([1]result!$S:$S,[1]result!$W:$W,"GQS",[1]result!$AB:$AB,"POWER_UNIT")</f>
        <v>1610483</v>
      </c>
      <c r="D7" s="14">
        <f>SUMIFS([1]result!$T:$T,[1]result!$W:$W,"GQS",[1]result!$AB:$AB,"POWER_UNIT")</f>
        <v>1052100</v>
      </c>
      <c r="E7" s="14">
        <f>SUMIFS([1]result!$U:$U,[1]result!$W:$W,"GQS",[1]result!$AB:$AB,"POWER_UNIT")</f>
        <v>12333917</v>
      </c>
      <c r="F7" s="14">
        <f>SUMIFS([1]result!$Z:$Z,[1]result!$W:$W,"GQS",[1]result!$AB:$AB,"POWER_UNIT")</f>
        <v>14996500</v>
      </c>
      <c r="G7" s="14">
        <f>COUNTIFS([1]result!$W:$W,"GQS",[1]result!$AB:$AB,"POWER_UNIT")</f>
        <v>40</v>
      </c>
    </row>
    <row r="8" spans="1:7" x14ac:dyDescent="0.25">
      <c r="A8" s="22"/>
      <c r="B8" s="2" t="s">
        <v>2</v>
      </c>
      <c r="C8" s="13">
        <f>SUMIFS([1]result!$S:$S,[1]result!$W:$W,"GQS",[1]result!$AB:$AB,"&lt;&gt;")-SUM(C5:C7)</f>
        <v>5279282</v>
      </c>
      <c r="D8" s="13">
        <f>SUMIFS([1]result!$T:$T,[1]result!$W:$W,"GQS",[1]result!$AB:$AB,"&lt;&gt;")-SUMIFS([1]result!$T:$T,[1]result!$W:$W,"GQS",[1]result!$AB:$AB,"PANEL")-SUMIFS([1]result!$T:$T,[1]result!$W:$W,"GQS",[1]result!$AB:$AB,"MAIN_UNIT")-SUMIFS([1]result!$T:$T,[1]result!$W:$W,"GQS",[1]result!$AB:$AB,"POWER_UNIT")</f>
        <v>2935800</v>
      </c>
      <c r="E8" s="13">
        <f>SUMIFS([1]result!$U:$U,[1]result!$W:$W,"GQS",[1]result!$AB:$AB,"&lt;&gt;")-SUMIFS([1]result!$U:$U,[1]result!$W:$W,"GQS",[1]result!$AB:$AB,"PANEL")-SUMIFS([1]result!$U:$U,[1]result!$W:$W,"GQS",[1]result!$AB:$AB,"MAIN_UNIT")-SUMIFS([1]result!$U:$U,[1]result!$W:$W,"GQS",[1]result!$AB:$AB,"POWER_UNIT")</f>
        <v>7020730</v>
      </c>
      <c r="F8" s="13">
        <f>SUMIFS([1]result!$Z:$Z,[1]result!$W:$W,"GQS",[1]result!$AB:$AB,"&lt;&gt;")-SUMIFS([1]result!$Z:$Z,[1]result!$W:$W,"GQS",[1]result!$AB:$AB,"PANEL")-SUMIFS([1]result!$Z:$Z,[1]result!$W:$W,"GQS",[1]result!$AB:$AB,"MAIN_UNIT")-SUMIFS([1]result!$Z:$Z,[1]result!$W:$W,"GQS",[1]result!$AB:$AB,"POWER_UNIT")</f>
        <v>15235812</v>
      </c>
      <c r="G8" s="13">
        <f>COUNTIFS([1]result!$W:$W,"GQS",[1]result!$AB:$AB,"&lt;&gt;")-COUNTIFS([1]result!$W:$W,"GQS",[1]result!$AB:$AB,"PANEL")-COUNTIFS([1]result!$W:$W,"GQS",[1]result!$AB:$AB,"MAIN_UNIT")-COUNTIFS([1]result!$W:$W,"GQS",[1]result!$AB:$AB,"POWER_UNIT")</f>
        <v>265</v>
      </c>
    </row>
    <row r="9" spans="1:7" x14ac:dyDescent="0.25">
      <c r="A9" s="3" t="s">
        <v>7</v>
      </c>
      <c r="B9" s="3"/>
      <c r="C9" s="15">
        <f>SUM(C5:C8)</f>
        <v>45920282</v>
      </c>
      <c r="D9" s="15">
        <f t="shared" ref="D9:F9" si="0">SUM(D5:D8)</f>
        <v>26215350</v>
      </c>
      <c r="E9" s="15">
        <f t="shared" si="0"/>
        <v>584417405</v>
      </c>
      <c r="F9" s="15">
        <f t="shared" si="0"/>
        <v>656553037</v>
      </c>
      <c r="G9" s="15">
        <f>SUM(G5:G8)</f>
        <v>1097</v>
      </c>
    </row>
    <row r="10" spans="1:7" x14ac:dyDescent="0.25">
      <c r="A10" s="23" t="s">
        <v>8</v>
      </c>
      <c r="B10" s="1" t="s">
        <v>1</v>
      </c>
      <c r="C10" s="14">
        <f>SUMIFS([1]result!$S:$S,[1]result!$W:$W,"SASS",[1]result!$AB:$AB,"PANEL")</f>
        <v>13785000</v>
      </c>
      <c r="D10" s="14">
        <f>SUMIFS([1]result!$T:$T,[1]result!$W:$W,"SASS",[1]result!$AB:$AB,"PANEL")</f>
        <v>2724000</v>
      </c>
      <c r="E10" s="14">
        <f>SUMIFS([1]result!$U:$U,[1]result!$W:$W,"SASS",[1]result!$AB:$AB,"PANEL")</f>
        <v>110256521</v>
      </c>
      <c r="F10" s="14">
        <f>SUMIFS([1]result!$Z:$Z,[1]result!$W:$W,"SASS",[1]result!$AB:$AB,"PANEL")</f>
        <v>126765521</v>
      </c>
      <c r="G10" s="14">
        <f>COUNTIFS([1]result!$W:$W,"SASS",[1]result!$AB:$AB,"PANEL")</f>
        <v>85</v>
      </c>
    </row>
    <row r="11" spans="1:7" x14ac:dyDescent="0.25">
      <c r="A11" s="21"/>
      <c r="B11" s="2" t="s">
        <v>5</v>
      </c>
      <c r="C11" s="13">
        <f>SUMIFS([1]result!$S:$S,[1]result!$W:$W,"SASS",[1]result!$AB:$AB,"MAIN_UNIT")</f>
        <v>19599000</v>
      </c>
      <c r="D11" s="13">
        <f>SUMIFS([1]result!$T:$T,[1]result!$W:$W,"SASS",[1]result!$AB:$AB,"MAIN_UNIT")</f>
        <v>4128000</v>
      </c>
      <c r="E11" s="13">
        <f>SUMIFS([1]result!$U:$U,[1]result!$W:$W,"SASS",[1]result!$AB:$AB,"MAIN_UNIT")</f>
        <v>97654027</v>
      </c>
      <c r="F11" s="13">
        <f>SUMIFS([1]result!$Z:$Z,[1]result!$W:$W,"SASS",[1]result!$AB:$AB,"MAIN_UNIT")</f>
        <v>121381027</v>
      </c>
      <c r="G11" s="13">
        <f>COUNTIFS([1]result!$W:$W,"SASS",[1]result!$AB:$AB,"MAIN_UNIT")</f>
        <v>127</v>
      </c>
    </row>
    <row r="12" spans="1:7" x14ac:dyDescent="0.25">
      <c r="A12" s="21"/>
      <c r="B12" s="1" t="s">
        <v>6</v>
      </c>
      <c r="C12" s="14">
        <f>SUMIFS([1]result!$S:$S,[1]result!$W:$W,"SASS",[1]result!$AB:$AB,"POWER_UNIT")</f>
        <v>1998000</v>
      </c>
      <c r="D12" s="14">
        <f>SUMIFS([1]result!$T:$T,[1]result!$W:$W,"SASS",[1]result!$AB:$AB,"POWER_UNIT")</f>
        <v>410000</v>
      </c>
      <c r="E12" s="14">
        <f>SUMIFS([1]result!$U:$U,[1]result!$W:$W,"SASS",[1]result!$AB:$AB,"POWER_UNIT")</f>
        <v>4178002</v>
      </c>
      <c r="F12" s="14">
        <f>SUMIFS([1]result!$Z:$Z,[1]result!$W:$W,"SASS",[1]result!$AB:$AB,"POWER_UNIT")</f>
        <v>6586002</v>
      </c>
      <c r="G12" s="14">
        <f>COUNTIFS([1]result!$W:$W,"SASS",[1]result!$AB:$AB,"POWER_UNIT")</f>
        <v>11</v>
      </c>
    </row>
    <row r="13" spans="1:7" x14ac:dyDescent="0.25">
      <c r="A13" s="22"/>
      <c r="B13" s="2" t="s">
        <v>2</v>
      </c>
      <c r="C13" s="13">
        <f>SUMIFS([1]result!$S:$S,[1]result!$W:$W,"SASS",[1]result!$AB:$AB,"&lt;&gt;")-SUMIFS([1]result!$S:$S,[1]result!$W:$W,"SASS",[1]result!$AB:$AB,"PANEL")-SUMIFS([1]result!$S:$S,[1]result!$W:$W,"SASS",[1]result!$AB:$AB,"MAIN_UNIT")-SUMIFS([1]result!$S:$S,[1]result!$W:$W,"SASS",[1]result!$AB:$AB,"POWER_UNIT")</f>
        <v>1992000</v>
      </c>
      <c r="D13" s="13">
        <f>SUMIFS([1]result!$T:$T,[1]result!$W:$W,"SASS",[1]result!$AB:$AB,"&lt;&gt;")-SUMIFS([1]result!$T:$T,[1]result!$W:$W,"SASS",[1]result!$AB:$AB,"PANEL")-SUMIFS([1]result!$T:$T,[1]result!$W:$W,"SASS",[1]result!$AB:$AB,"MAIN_UNIT")-SUMIFS([1]result!$T:$T,[1]result!$W:$W,"SASS",[1]result!$AB:$AB,"POWER_UNIT")</f>
        <v>510000</v>
      </c>
      <c r="E13" s="13">
        <f>SUMIFS([1]result!$U:$U,[1]result!$W:$W,"SASS",[1]result!$AB:$AB,"&lt;&gt;")-SUMIFS([1]result!$U:$U,[1]result!$W:$W,"SASS",[1]result!$AB:$AB,"PANEL")-SUMIFS([1]result!$U:$U,[1]result!$W:$W,"SASS",[1]result!$AB:$AB,"MAIN_UNIT")-SUMIFS([1]result!$U:$U,[1]result!$W:$W,"SASS",[1]result!$AB:$AB,"POWER_UNIT")</f>
        <v>7518500</v>
      </c>
      <c r="F13" s="13">
        <f>SUMIFS([1]result!$Z:$Z,[1]result!$W:$W,"SASS",[1]result!$AB:$AB,"&lt;&gt;")-SUMIFS([1]result!$Z:$Z,[1]result!$W:$W,"SASS",[1]result!$AB:$AB,"PANEL")-SUMIFS([1]result!$Z:$Z,[1]result!$W:$W,"SASS",[1]result!$AB:$AB,"MAIN_UNIT")-SUMIFS([1]result!$Z:$Z,[1]result!$W:$W,"SASS",[1]result!$AB:$AB,"POWER_UNIT")</f>
        <v>10020500</v>
      </c>
      <c r="G13" s="13">
        <f>COUNTIFS([1]result!$W:$W,"SASS",[1]result!$AB:$AB,"&lt;&gt;")-COUNTIFS([1]result!$W:$W,"SASS",[1]result!$AB:$AB,"PANEL")-COUNTIFS([1]result!$W:$W,"SASS",[1]result!$AB:$AB,"MAIN_UNIT")-COUNTIFS([1]result!$W:$W,"SASS",[1]result!$AB:$AB,"POWER_UNIT")</f>
        <v>45</v>
      </c>
    </row>
    <row r="14" spans="1:7" x14ac:dyDescent="0.25">
      <c r="A14" s="3" t="s">
        <v>9</v>
      </c>
      <c r="B14" s="3"/>
      <c r="C14" s="15">
        <f>SUMIFS([1]result!$S:$S,[1]result!$W:$W,"SASS",[1]result!$AB:$AB,"&lt;&gt;")</f>
        <v>37374000</v>
      </c>
      <c r="D14" s="15">
        <f>SUMIFS([1]result!$T:$T,[1]result!$W:$W,"SASS",[1]result!$AB:$AB,"&lt;&gt;")</f>
        <v>7772000</v>
      </c>
      <c r="E14" s="15">
        <f>SUMIFS([1]result!$U:$U,[1]result!$W:$W,"SASS",[1]result!$AB:$AB,"&lt;&gt;")</f>
        <v>219607050</v>
      </c>
      <c r="F14" s="15">
        <f>SUMIFS([1]result!$Z:$Z,[1]result!$W:$W,"SASS",[1]result!$AB:$AB,"&lt;&gt;")</f>
        <v>264753050</v>
      </c>
      <c r="G14" s="15">
        <f>COUNTIFS([1]result!$W:$W,"SASS",[1]result!$AB:$AB,"&lt;&gt;")</f>
        <v>268</v>
      </c>
    </row>
    <row r="15" spans="1:7" x14ac:dyDescent="0.25">
      <c r="A15" s="16" t="s">
        <v>10</v>
      </c>
      <c r="B15" s="16"/>
      <c r="C15" s="17">
        <f>SUMIFS([1]result!$S:$S,[1]result!$AB:$AB,"&lt;&gt;")</f>
        <v>83294282</v>
      </c>
      <c r="D15" s="17">
        <f>SUMIFS([1]result!$T:$T,[1]result!$AB:$AB,"&lt;&gt;")</f>
        <v>33987350</v>
      </c>
      <c r="E15" s="17">
        <f>SUMIFS([1]result!$U:$U,[1]result!$AB:$AB,"&lt;&gt;")</f>
        <v>804024455</v>
      </c>
      <c r="F15" s="17">
        <f>SUMIFS([1]result!$Z:$Z,[1]result!$AB:$AB,"&lt;&gt;")</f>
        <v>921306087</v>
      </c>
      <c r="G15" s="17">
        <f>COUNTIFS([1]result!$AB:$AB,"&lt;&gt;")</f>
        <v>1366</v>
      </c>
    </row>
  </sheetData>
  <mergeCells count="4">
    <mergeCell ref="A1:G1"/>
    <mergeCell ref="A2:G2"/>
    <mergeCell ref="A5:A8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Safari</dc:creator>
  <cp:lastModifiedBy>Ari Safari</cp:lastModifiedBy>
  <dcterms:created xsi:type="dcterms:W3CDTF">2026-05-01T16:14:04Z</dcterms:created>
  <dcterms:modified xsi:type="dcterms:W3CDTF">2026-05-01T22:57:31Z</dcterms:modified>
</cp:coreProperties>
</file>