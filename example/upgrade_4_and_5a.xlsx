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RISAFARI\Works\Project Applications\tool-fcost\example\"/>
    </mc:Choice>
  </mc:AlternateContent>
  <bookViews>
    <workbookView xWindow="0" yWindow="0" windowWidth="28800" windowHeight="12885"/>
  </bookViews>
  <sheets>
    <sheet name="data4" sheetId="1" r:id="rId1"/>
    <sheet name="data5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0" i="2" l="1"/>
  <c r="F30" i="2"/>
  <c r="E30" i="2"/>
  <c r="D30" i="2"/>
  <c r="C30" i="2"/>
  <c r="H29" i="2"/>
  <c r="H28" i="2"/>
  <c r="H30" i="2" s="1"/>
  <c r="G22" i="2"/>
  <c r="H19" i="2" s="1"/>
  <c r="F22" i="2"/>
  <c r="E22" i="2"/>
  <c r="D22" i="2"/>
  <c r="C22" i="2"/>
  <c r="H21" i="2"/>
  <c r="H20" i="2"/>
  <c r="H18" i="2"/>
  <c r="H17" i="2"/>
  <c r="H22" i="2" s="1"/>
  <c r="C28" i="1"/>
  <c r="C19" i="1"/>
</calcChain>
</file>

<file path=xl/sharedStrings.xml><?xml version="1.0" encoding="utf-8"?>
<sst xmlns="http://schemas.openxmlformats.org/spreadsheetml/2006/main" count="79" uniqueCount="31">
  <si>
    <t>PANEL USAGE SUMMARY</t>
  </si>
  <si>
    <t>Panel summary by usage</t>
  </si>
  <si>
    <t>TOTAL</t>
  </si>
  <si>
    <t>Part Name</t>
  </si>
  <si>
    <t>Panel Usage</t>
  </si>
  <si>
    <t>Total</t>
  </si>
  <si>
    <t>PANEL</t>
  </si>
  <si>
    <t>&lt; 1 Year</t>
  </si>
  <si>
    <t>1 - 2 Years</t>
  </si>
  <si>
    <t>2 - 3 Years</t>
  </si>
  <si>
    <t>&gt; 3 Years</t>
  </si>
  <si>
    <t>PANEL Total</t>
  </si>
  <si>
    <t>Grand Total</t>
  </si>
  <si>
    <t>Factory :</t>
  </si>
  <si>
    <t>AE TECH</t>
  </si>
  <si>
    <t>SMM</t>
  </si>
  <si>
    <t>PANEL FCOST BY INCH</t>
  </si>
  <si>
    <t>Panel FCOST summary by inch - (K.IDR)</t>
  </si>
  <si>
    <t>Inch</t>
  </si>
  <si>
    <t>Labor</t>
  </si>
  <si>
    <t>Transportation</t>
  </si>
  <si>
    <t>Parts</t>
  </si>
  <si>
    <t>Count</t>
  </si>
  <si>
    <t>55</t>
  </si>
  <si>
    <t>60</t>
  </si>
  <si>
    <t>65</t>
  </si>
  <si>
    <t>70</t>
  </si>
  <si>
    <t>75</t>
  </si>
  <si>
    <t>other</t>
  </si>
  <si>
    <t>`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</si>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</sst>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i/>
      <sz val="10"/>
      <name val="Calibri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</font>
    <font>
      <sz val="9"/>
      <name val="Calibri"/>
      <family val="2"/>
    </font>
    <font>
      <b/>
      <sz val="9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E4DFEC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E699"/>
      </patternFill>
    </fill>
    <fill>
      <patternFill patternType="solid">
        <fgColor rgb="FFFCE4D6"/>
      </patternFill>
    </fill>
    <fill>
      <patternFill patternType="solid">
        <fgColor rgb="FFDDEBF7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2" fillId="4" borderId="0" xfId="0" applyFont="1" applyFill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top"/>
    </xf>
    <xf numFmtId="0" fontId="6" fillId="7" borderId="1" xfId="0" applyFont="1" applyFill="1" applyBorder="1" applyAlignment="1">
      <alignment horizontal="left" vertical="center"/>
    </xf>
    <xf numFmtId="3" fontId="6" fillId="7" borderId="1" xfId="0" applyNumberFormat="1" applyFont="1" applyFill="1" applyBorder="1" applyAlignment="1">
      <alignment horizontal="right" vertical="center"/>
    </xf>
    <xf numFmtId="0" fontId="0" fillId="0" borderId="2" xfId="0" applyBorder="1"/>
    <xf numFmtId="0" fontId="6" fillId="3" borderId="1" xfId="0" applyFont="1" applyFill="1" applyBorder="1" applyAlignment="1">
      <alignment horizontal="left" vertical="center"/>
    </xf>
    <xf numFmtId="3" fontId="6" fillId="3" borderId="1" xfId="0" applyNumberFormat="1" applyFont="1" applyFill="1" applyBorder="1" applyAlignment="1">
      <alignment horizontal="right" vertical="center"/>
    </xf>
    <xf numFmtId="0" fontId="0" fillId="0" borderId="3" xfId="0" applyBorder="1"/>
    <xf numFmtId="0" fontId="7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/>
    </xf>
    <xf numFmtId="3" fontId="7" fillId="8" borderId="1" xfId="0" applyNumberFormat="1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3" fontId="7" fillId="2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vertical="top"/>
    </xf>
    <xf numFmtId="0" fontId="6" fillId="7" borderId="1" xfId="0" applyNumberFormat="1" applyFont="1" applyFill="1" applyBorder="1" applyAlignment="1">
      <alignment horizontal="left" vertical="center"/>
    </xf>
    <xf numFmtId="9" fontId="6" fillId="7" borderId="1" xfId="1" applyFont="1" applyFill="1" applyBorder="1" applyAlignment="1">
      <alignment horizontal="right" vertical="center"/>
    </xf>
    <xf numFmtId="0" fontId="0" fillId="0" borderId="2" xfId="0" applyBorder="1" applyAlignment="1"/>
    <xf numFmtId="0" fontId="6" fillId="3" borderId="1" xfId="0" applyNumberFormat="1" applyFont="1" applyFill="1" applyBorder="1" applyAlignment="1">
      <alignment horizontal="left" vertical="center"/>
    </xf>
    <xf numFmtId="9" fontId="6" fillId="3" borderId="1" xfId="1" applyFont="1" applyFill="1" applyBorder="1" applyAlignment="1">
      <alignment horizontal="right" vertical="center"/>
    </xf>
    <xf numFmtId="9" fontId="7" fillId="8" borderId="1" xfId="1" applyFont="1" applyFill="1" applyBorder="1" applyAlignment="1">
      <alignment horizontal="right" vertical="center"/>
    </xf>
    <xf numFmtId="0" fontId="6" fillId="7" borderId="1" xfId="0" applyFont="1" applyFill="1" applyBorder="1" applyAlignment="1">
      <alignment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showGridLines="0" tabSelected="1" workbookViewId="0">
      <pane xSplit="1" ySplit="4" topLeftCell="B5" activePane="bottomRight" state="frozen"/>
      <selection activeCell="I19" sqref="I19"/>
      <selection pane="topRight" activeCell="I19" sqref="I19"/>
      <selection pane="bottomLeft" activeCell="I19" sqref="I19"/>
      <selection pane="bottomRight" activeCell="M25" sqref="M25"/>
    </sheetView>
  </sheetViews>
  <sheetFormatPr defaultRowHeight="15" x14ac:dyDescent="0.25"/>
  <cols>
    <col min="1" max="2" width="13" customWidth="1"/>
    <col min="3" max="3" width="8.28515625" customWidth="1"/>
  </cols>
  <sheetData>
    <row r="1" spans="1:3" ht="18.75" x14ac:dyDescent="0.25">
      <c r="A1" s="1" t="s">
        <v>0</v>
      </c>
      <c r="B1" s="2"/>
      <c r="C1" s="2"/>
    </row>
    <row r="2" spans="1:3" x14ac:dyDescent="0.25">
      <c r="A2" s="3" t="s">
        <v>1</v>
      </c>
      <c r="B2" s="2"/>
      <c r="C2" s="2"/>
    </row>
    <row r="3" spans="1:3" x14ac:dyDescent="0.25">
      <c r="A3" s="4" t="s">
        <v>2</v>
      </c>
    </row>
    <row r="4" spans="1:3" x14ac:dyDescent="0.25">
      <c r="A4" s="5" t="s">
        <v>3</v>
      </c>
      <c r="B4" s="6" t="s">
        <v>4</v>
      </c>
      <c r="C4" s="5" t="s">
        <v>5</v>
      </c>
    </row>
    <row r="5" spans="1:3" x14ac:dyDescent="0.25">
      <c r="A5" s="7" t="s">
        <v>6</v>
      </c>
      <c r="B5" s="8" t="s">
        <v>7</v>
      </c>
      <c r="C5" s="9">
        <v>21</v>
      </c>
    </row>
    <row r="6" spans="1:3" x14ac:dyDescent="0.25">
      <c r="A6" s="10"/>
      <c r="B6" s="11" t="s">
        <v>8</v>
      </c>
      <c r="C6" s="12">
        <v>7</v>
      </c>
    </row>
    <row r="7" spans="1:3" x14ac:dyDescent="0.25">
      <c r="A7" s="10"/>
      <c r="B7" s="8" t="s">
        <v>9</v>
      </c>
      <c r="C7" s="9">
        <v>20</v>
      </c>
    </row>
    <row r="8" spans="1:3" x14ac:dyDescent="0.25">
      <c r="A8" s="13"/>
      <c r="B8" s="11" t="s">
        <v>10</v>
      </c>
      <c r="C8" s="12">
        <v>33</v>
      </c>
    </row>
    <row r="9" spans="1:3" x14ac:dyDescent="0.25">
      <c r="A9" s="14" t="s">
        <v>11</v>
      </c>
      <c r="B9" s="15"/>
      <c r="C9" s="16">
        <v>81</v>
      </c>
    </row>
    <row r="10" spans="1:3" x14ac:dyDescent="0.25">
      <c r="A10" s="17" t="s">
        <v>12</v>
      </c>
      <c r="B10" s="18"/>
      <c r="C10" s="19">
        <v>81</v>
      </c>
    </row>
    <row r="13" spans="1:3" x14ac:dyDescent="0.25">
      <c r="A13" s="4" t="s">
        <v>13</v>
      </c>
      <c r="B13" s="4" t="s">
        <v>14</v>
      </c>
    </row>
    <row r="14" spans="1:3" x14ac:dyDescent="0.25">
      <c r="A14" s="5" t="s">
        <v>3</v>
      </c>
      <c r="B14" s="6" t="s">
        <v>4</v>
      </c>
      <c r="C14" s="5" t="s">
        <v>5</v>
      </c>
    </row>
    <row r="15" spans="1:3" x14ac:dyDescent="0.25">
      <c r="A15" s="7" t="s">
        <v>6</v>
      </c>
      <c r="B15" s="8" t="s">
        <v>7</v>
      </c>
      <c r="C15" s="9">
        <v>11</v>
      </c>
    </row>
    <row r="16" spans="1:3" x14ac:dyDescent="0.25">
      <c r="A16" s="10"/>
      <c r="B16" s="11" t="s">
        <v>8</v>
      </c>
      <c r="C16" s="12">
        <v>5</v>
      </c>
    </row>
    <row r="17" spans="1:3" x14ac:dyDescent="0.25">
      <c r="A17" s="10"/>
      <c r="B17" s="8" t="s">
        <v>9</v>
      </c>
      <c r="C17" s="9">
        <v>19</v>
      </c>
    </row>
    <row r="18" spans="1:3" x14ac:dyDescent="0.25">
      <c r="A18" s="13"/>
      <c r="B18" s="11" t="s">
        <v>10</v>
      </c>
      <c r="C18" s="12">
        <v>24</v>
      </c>
    </row>
    <row r="19" spans="1:3" x14ac:dyDescent="0.25">
      <c r="A19" s="14" t="s">
        <v>11</v>
      </c>
      <c r="B19" s="15"/>
      <c r="C19" s="16">
        <f>SUM(C15:C18)</f>
        <v>59</v>
      </c>
    </row>
    <row r="22" spans="1:3" x14ac:dyDescent="0.25">
      <c r="A22" s="4" t="s">
        <v>13</v>
      </c>
      <c r="B22" s="4" t="s">
        <v>15</v>
      </c>
    </row>
    <row r="23" spans="1:3" x14ac:dyDescent="0.25">
      <c r="A23" s="5" t="s">
        <v>3</v>
      </c>
      <c r="B23" s="6" t="s">
        <v>4</v>
      </c>
      <c r="C23" s="5" t="s">
        <v>5</v>
      </c>
    </row>
    <row r="24" spans="1:3" x14ac:dyDescent="0.25">
      <c r="A24" s="7" t="s">
        <v>6</v>
      </c>
      <c r="B24" s="8" t="s">
        <v>7</v>
      </c>
      <c r="C24" s="9">
        <v>10</v>
      </c>
    </row>
    <row r="25" spans="1:3" x14ac:dyDescent="0.25">
      <c r="A25" s="10"/>
      <c r="B25" s="11" t="s">
        <v>8</v>
      </c>
      <c r="C25" s="12">
        <v>2</v>
      </c>
    </row>
    <row r="26" spans="1:3" x14ac:dyDescent="0.25">
      <c r="A26" s="10"/>
      <c r="B26" s="8" t="s">
        <v>9</v>
      </c>
      <c r="C26" s="9">
        <v>1</v>
      </c>
    </row>
    <row r="27" spans="1:3" x14ac:dyDescent="0.25">
      <c r="A27" s="13"/>
      <c r="B27" s="11" t="s">
        <v>10</v>
      </c>
      <c r="C27" s="12">
        <v>9</v>
      </c>
    </row>
    <row r="28" spans="1:3" x14ac:dyDescent="0.25">
      <c r="A28" s="14" t="s">
        <v>11</v>
      </c>
      <c r="B28" s="15"/>
      <c r="C28" s="16">
        <f>SUM(C24:C27)</f>
        <v>22</v>
      </c>
    </row>
  </sheetData>
  <mergeCells count="5">
    <mergeCell ref="A1:C1"/>
    <mergeCell ref="A2:C2"/>
    <mergeCell ref="A5:A8"/>
    <mergeCell ref="A15:A18"/>
    <mergeCell ref="A24:A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"/>
  <sheetViews>
    <sheetView showGridLines="0" workbookViewId="0">
      <pane xSplit="1" ySplit="4" topLeftCell="B5" activePane="bottomRight" state="frozen"/>
      <selection activeCell="I19" sqref="I19"/>
      <selection pane="topRight" activeCell="I19" sqref="I19"/>
      <selection pane="bottomLeft" activeCell="I19" sqref="I19"/>
      <selection pane="bottomRight" activeCell="I19" sqref="I19"/>
    </sheetView>
  </sheetViews>
  <sheetFormatPr defaultRowHeight="15" x14ac:dyDescent="0.25"/>
  <cols>
    <col min="1" max="1" width="13" customWidth="1"/>
    <col min="2" max="2" width="8" customWidth="1"/>
    <col min="3" max="5" width="13" customWidth="1"/>
    <col min="6" max="6" width="8.140625" customWidth="1"/>
    <col min="7" max="7" width="7.85546875" customWidth="1"/>
    <col min="8" max="8" width="6" customWidth="1"/>
    <col min="11" max="11" width="9.5703125" bestFit="1" customWidth="1"/>
    <col min="13" max="17" width="12.7109375" customWidth="1"/>
  </cols>
  <sheetData>
    <row r="1" spans="1:20" ht="18.75" x14ac:dyDescent="0.25">
      <c r="A1" s="1" t="s">
        <v>16</v>
      </c>
      <c r="B1" s="2"/>
      <c r="C1" s="2"/>
      <c r="D1" s="2"/>
      <c r="E1" s="2"/>
      <c r="F1" s="2"/>
      <c r="G1" s="2"/>
    </row>
    <row r="2" spans="1:20" x14ac:dyDescent="0.25">
      <c r="A2" s="3" t="s">
        <v>17</v>
      </c>
      <c r="B2" s="2"/>
      <c r="C2" s="2"/>
      <c r="D2" s="2"/>
      <c r="E2" s="2"/>
      <c r="F2" s="2"/>
      <c r="G2" s="2"/>
    </row>
    <row r="3" spans="1:20" x14ac:dyDescent="0.25">
      <c r="A3" t="s">
        <v>2</v>
      </c>
    </row>
    <row r="4" spans="1:20" x14ac:dyDescent="0.25">
      <c r="A4" s="5" t="s">
        <v>3</v>
      </c>
      <c r="B4" s="6" t="s">
        <v>18</v>
      </c>
      <c r="C4" s="20" t="s">
        <v>19</v>
      </c>
      <c r="D4" s="21" t="s">
        <v>20</v>
      </c>
      <c r="E4" s="22" t="s">
        <v>21</v>
      </c>
      <c r="F4" s="5" t="s">
        <v>5</v>
      </c>
      <c r="G4" s="23" t="s">
        <v>22</v>
      </c>
    </row>
    <row r="5" spans="1:20" x14ac:dyDescent="0.25">
      <c r="A5" s="7" t="s">
        <v>6</v>
      </c>
      <c r="B5" s="8" t="s">
        <v>23</v>
      </c>
      <c r="C5" s="9">
        <v>5011.2439999999997</v>
      </c>
      <c r="D5" s="9">
        <v>1352</v>
      </c>
      <c r="E5" s="9">
        <v>137068.46100000001</v>
      </c>
      <c r="F5" s="9">
        <v>143431.70499999999</v>
      </c>
      <c r="G5" s="9">
        <v>57</v>
      </c>
    </row>
    <row r="6" spans="1:20" x14ac:dyDescent="0.25">
      <c r="A6" s="10"/>
      <c r="B6" s="11" t="s">
        <v>24</v>
      </c>
      <c r="C6" s="12">
        <v>1329.481</v>
      </c>
      <c r="D6" s="12">
        <v>338</v>
      </c>
      <c r="E6" s="12">
        <v>26103.623</v>
      </c>
      <c r="F6" s="12">
        <v>27771.103999999999</v>
      </c>
      <c r="G6" s="12">
        <v>12</v>
      </c>
    </row>
    <row r="7" spans="1:20" x14ac:dyDescent="0.25">
      <c r="A7" s="10"/>
      <c r="B7" s="8" t="s">
        <v>25</v>
      </c>
      <c r="C7" s="9">
        <v>577.35599999999999</v>
      </c>
      <c r="D7" s="9">
        <v>143.19999999999999</v>
      </c>
      <c r="E7" s="9">
        <v>17443.008999999998</v>
      </c>
      <c r="F7" s="9">
        <v>18163.564999999999</v>
      </c>
      <c r="G7" s="9">
        <v>5</v>
      </c>
    </row>
    <row r="8" spans="1:20" x14ac:dyDescent="0.25">
      <c r="A8" s="10"/>
      <c r="B8" s="11" t="s">
        <v>26</v>
      </c>
      <c r="C8" s="12">
        <v>381.65100000000001</v>
      </c>
      <c r="D8" s="12">
        <v>66.7</v>
      </c>
      <c r="E8" s="12">
        <v>14271.653</v>
      </c>
      <c r="F8" s="12">
        <v>14720.004000000001</v>
      </c>
      <c r="G8" s="12">
        <v>3</v>
      </c>
    </row>
    <row r="9" spans="1:20" x14ac:dyDescent="0.25">
      <c r="A9" s="10"/>
      <c r="B9" s="8" t="s">
        <v>27</v>
      </c>
      <c r="C9" s="9">
        <v>441.214</v>
      </c>
      <c r="D9" s="9">
        <v>73.900000000000006</v>
      </c>
      <c r="E9" s="9">
        <v>13603.834999999999</v>
      </c>
      <c r="F9" s="9">
        <v>14118.949000000001</v>
      </c>
      <c r="G9" s="9">
        <v>3</v>
      </c>
    </row>
    <row r="10" spans="1:20" x14ac:dyDescent="0.25">
      <c r="A10" s="13"/>
      <c r="B10" s="11" t="s">
        <v>28</v>
      </c>
      <c r="C10" s="12">
        <v>59.561999999999998</v>
      </c>
      <c r="D10" s="12">
        <v>21</v>
      </c>
      <c r="E10" s="12">
        <v>1661.742</v>
      </c>
      <c r="F10" s="12">
        <v>1742.3040000000001</v>
      </c>
      <c r="G10" s="12">
        <v>1</v>
      </c>
    </row>
    <row r="11" spans="1:20" x14ac:dyDescent="0.25">
      <c r="A11" s="14" t="s">
        <v>11</v>
      </c>
      <c r="B11" s="15"/>
      <c r="C11" s="16">
        <v>7800.5079999999998</v>
      </c>
      <c r="D11" s="16">
        <v>1994.8</v>
      </c>
      <c r="E11" s="16">
        <v>210152.323</v>
      </c>
      <c r="F11" s="16">
        <v>219947.63099999999</v>
      </c>
      <c r="G11" s="16">
        <v>81</v>
      </c>
      <c r="T11" t="s">
        <v>29</v>
      </c>
    </row>
    <row r="12" spans="1:20" x14ac:dyDescent="0.25">
      <c r="A12" s="17" t="s">
        <v>12</v>
      </c>
      <c r="B12" s="18"/>
      <c r="C12" s="19">
        <v>7800.5079999999998</v>
      </c>
      <c r="D12" s="19">
        <v>1994.8</v>
      </c>
      <c r="E12" s="19">
        <v>210152.323</v>
      </c>
      <c r="F12" s="19">
        <v>219947.63099999999</v>
      </c>
      <c r="G12" s="19">
        <v>81</v>
      </c>
    </row>
    <row r="15" spans="1:20" x14ac:dyDescent="0.25">
      <c r="A15" t="s">
        <v>13</v>
      </c>
      <c r="B15" t="s">
        <v>15</v>
      </c>
    </row>
    <row r="16" spans="1:20" x14ac:dyDescent="0.25">
      <c r="A16" s="5" t="s">
        <v>3</v>
      </c>
      <c r="B16" s="6" t="s">
        <v>18</v>
      </c>
      <c r="C16" s="20" t="s">
        <v>19</v>
      </c>
      <c r="D16" s="21" t="s">
        <v>20</v>
      </c>
      <c r="E16" s="22" t="s">
        <v>21</v>
      </c>
      <c r="F16" s="5" t="s">
        <v>5</v>
      </c>
      <c r="G16" s="23" t="s">
        <v>22</v>
      </c>
      <c r="H16" s="23" t="s">
        <v>30</v>
      </c>
    </row>
    <row r="17" spans="1:8" x14ac:dyDescent="0.25">
      <c r="A17" s="24" t="s">
        <v>6</v>
      </c>
      <c r="B17" s="25">
        <v>60</v>
      </c>
      <c r="C17" s="9">
        <v>1329.481</v>
      </c>
      <c r="D17" s="9">
        <v>338</v>
      </c>
      <c r="E17" s="9">
        <v>26103.623</v>
      </c>
      <c r="F17" s="9">
        <v>27771.103999999999</v>
      </c>
      <c r="G17" s="9">
        <v>12</v>
      </c>
      <c r="H17" s="26">
        <f>G17/$G$22</f>
        <v>0.54545454545454541</v>
      </c>
    </row>
    <row r="18" spans="1:8" x14ac:dyDescent="0.25">
      <c r="A18" s="27"/>
      <c r="B18" s="28">
        <v>65</v>
      </c>
      <c r="C18" s="12">
        <v>577.35599999999999</v>
      </c>
      <c r="D18" s="12">
        <v>143.19999999999999</v>
      </c>
      <c r="E18" s="12">
        <v>17443.008999999998</v>
      </c>
      <c r="F18" s="12">
        <v>18163.564999999999</v>
      </c>
      <c r="G18" s="12">
        <v>5</v>
      </c>
      <c r="H18" s="29">
        <f t="shared" ref="H18:H21" si="0">G18/$G$22</f>
        <v>0.22727272727272727</v>
      </c>
    </row>
    <row r="19" spans="1:8" x14ac:dyDescent="0.25">
      <c r="A19" s="27"/>
      <c r="B19" s="25">
        <v>70</v>
      </c>
      <c r="C19" s="9">
        <v>381.65100000000001</v>
      </c>
      <c r="D19" s="9">
        <v>66.7</v>
      </c>
      <c r="E19" s="9">
        <v>14271.653</v>
      </c>
      <c r="F19" s="9">
        <v>14720.004000000001</v>
      </c>
      <c r="G19" s="9">
        <v>3</v>
      </c>
      <c r="H19" s="26">
        <f t="shared" si="0"/>
        <v>0.13636363636363635</v>
      </c>
    </row>
    <row r="20" spans="1:8" x14ac:dyDescent="0.25">
      <c r="A20" s="27"/>
      <c r="B20" s="28">
        <v>55</v>
      </c>
      <c r="C20" s="12">
        <v>174</v>
      </c>
      <c r="D20" s="12">
        <v>34</v>
      </c>
      <c r="E20" s="12">
        <v>2659.5</v>
      </c>
      <c r="F20" s="12">
        <v>2867.5</v>
      </c>
      <c r="G20" s="12">
        <v>1</v>
      </c>
      <c r="H20" s="29">
        <f t="shared" si="0"/>
        <v>4.5454545454545456E-2</v>
      </c>
    </row>
    <row r="21" spans="1:8" x14ac:dyDescent="0.25">
      <c r="A21" s="27"/>
      <c r="B21" s="25">
        <v>50</v>
      </c>
      <c r="C21" s="9">
        <v>59.561999999999998</v>
      </c>
      <c r="D21" s="9">
        <v>21</v>
      </c>
      <c r="E21" s="9">
        <v>1661.742</v>
      </c>
      <c r="F21" s="9">
        <v>1742.3040000000001</v>
      </c>
      <c r="G21" s="9">
        <v>1</v>
      </c>
      <c r="H21" s="26">
        <f t="shared" si="0"/>
        <v>4.5454545454545456E-2</v>
      </c>
    </row>
    <row r="22" spans="1:8" x14ac:dyDescent="0.25">
      <c r="A22" s="14" t="s">
        <v>11</v>
      </c>
      <c r="B22" s="15"/>
      <c r="C22" s="16">
        <f>SUM(C17:C21)</f>
        <v>2522.0499999999997</v>
      </c>
      <c r="D22" s="16">
        <f t="shared" ref="D22:F22" si="1">SUM(D17:D21)</f>
        <v>602.9</v>
      </c>
      <c r="E22" s="16">
        <f t="shared" si="1"/>
        <v>62139.526999999995</v>
      </c>
      <c r="F22" s="16">
        <f t="shared" si="1"/>
        <v>65264.476999999999</v>
      </c>
      <c r="G22" s="16">
        <f>SUM(G17:G21)</f>
        <v>22</v>
      </c>
      <c r="H22" s="30">
        <f>SUM(H17:H21)</f>
        <v>0.99999999999999989</v>
      </c>
    </row>
    <row r="26" spans="1:8" x14ac:dyDescent="0.25">
      <c r="A26" t="s">
        <v>13</v>
      </c>
      <c r="B26" t="s">
        <v>14</v>
      </c>
    </row>
    <row r="27" spans="1:8" x14ac:dyDescent="0.25">
      <c r="A27" s="5" t="s">
        <v>3</v>
      </c>
      <c r="B27" s="6" t="s">
        <v>18</v>
      </c>
      <c r="C27" s="20" t="s">
        <v>19</v>
      </c>
      <c r="D27" s="21" t="s">
        <v>20</v>
      </c>
      <c r="E27" s="22" t="s">
        <v>21</v>
      </c>
      <c r="F27" s="5" t="s">
        <v>5</v>
      </c>
      <c r="G27" s="23" t="s">
        <v>22</v>
      </c>
      <c r="H27" s="23" t="s">
        <v>30</v>
      </c>
    </row>
    <row r="28" spans="1:8" x14ac:dyDescent="0.25">
      <c r="A28" s="31" t="s">
        <v>6</v>
      </c>
      <c r="B28" s="25">
        <v>55</v>
      </c>
      <c r="C28" s="9">
        <v>4837.2439999999997</v>
      </c>
      <c r="D28" s="9">
        <v>1318</v>
      </c>
      <c r="E28" s="9">
        <v>134408.96100000001</v>
      </c>
      <c r="F28" s="9">
        <v>140564.20499999999</v>
      </c>
      <c r="G28" s="9">
        <v>56</v>
      </c>
      <c r="H28" s="26">
        <f>G28/$G$30</f>
        <v>0.94915254237288138</v>
      </c>
    </row>
    <row r="29" spans="1:8" x14ac:dyDescent="0.25">
      <c r="A29" s="27"/>
      <c r="B29" s="28">
        <v>75</v>
      </c>
      <c r="C29" s="12">
        <v>441.214</v>
      </c>
      <c r="D29" s="12">
        <v>73.900000000000006</v>
      </c>
      <c r="E29" s="12">
        <v>13603.834999999999</v>
      </c>
      <c r="F29" s="12">
        <v>14118.949000000001</v>
      </c>
      <c r="G29" s="12">
        <v>3</v>
      </c>
      <c r="H29" s="29">
        <f>G29/$G$30</f>
        <v>5.0847457627118647E-2</v>
      </c>
    </row>
    <row r="30" spans="1:8" x14ac:dyDescent="0.25">
      <c r="A30" s="14" t="s">
        <v>11</v>
      </c>
      <c r="B30" s="15"/>
      <c r="C30" s="16">
        <f t="shared" ref="C30:H30" si="2">SUM(C28:C29)</f>
        <v>5278.4579999999996</v>
      </c>
      <c r="D30" s="16">
        <f t="shared" si="2"/>
        <v>1391.9</v>
      </c>
      <c r="E30" s="16">
        <f t="shared" si="2"/>
        <v>148012.796</v>
      </c>
      <c r="F30" s="16">
        <f t="shared" si="2"/>
        <v>154683.15399999998</v>
      </c>
      <c r="G30" s="16">
        <f t="shared" si="2"/>
        <v>59</v>
      </c>
      <c r="H30" s="30">
        <f t="shared" si="2"/>
        <v>1</v>
      </c>
    </row>
  </sheetData>
  <mergeCells count="3">
    <mergeCell ref="A1:G1"/>
    <mergeCell ref="A2:G2"/>
    <mergeCell ref="A5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data4</vt:lpstr>
      <vt:lpstr>data5a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 Safari</dc:creator>
  <cp:lastModifiedBy>Ari Safari</cp:lastModifiedBy>
  <dcterms:created xsi:type="dcterms:W3CDTF">2026-07-10T09:41:48Z</dcterms:created>
  <dcterms:modified xsi:type="dcterms:W3CDTF">2026-07-10T09:42:28Z</dcterms:modified>
</cp:coreProperties>
</file>