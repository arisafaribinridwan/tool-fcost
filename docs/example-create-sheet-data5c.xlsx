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ISAFARI\Works\Project Applications\tool-fcost\docs\"/>
    </mc:Choice>
  </mc:AlternateContent>
  <bookViews>
    <workbookView xWindow="0" yWindow="0" windowWidth="28800" windowHeight="12885"/>
  </bookViews>
  <sheets>
    <sheet name="data5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F20" i="1"/>
  <c r="E20" i="1"/>
  <c r="D20" i="1"/>
  <c r="C20" i="1"/>
  <c r="G15" i="1"/>
  <c r="F15" i="1"/>
  <c r="E15" i="1"/>
  <c r="D15" i="1"/>
  <c r="C15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<sst xmlns="http://schemas.openxmlformats.org/spreadsheetml/2006/main" count="32" uniqueCount="14">
  <si>
    <t>PANEL TOP MODEL BY FACTORY</t>
  </si>
  <si>
    <t>Top panel model summary by factory - (K.IDR)</t>
  </si>
  <si>
    <t>AE TECH</t>
  </si>
  <si>
    <t>Part Name</t>
  </si>
  <si>
    <t>Inch</t>
  </si>
  <si>
    <t>Labor</t>
  </si>
  <si>
    <t>Transportation</t>
  </si>
  <si>
    <t>Parts</t>
  </si>
  <si>
    <t>Total</t>
  </si>
  <si>
    <t>Count</t>
  </si>
  <si>
    <t>PANEL</t>
  </si>
  <si>
    <t>PANEL Total</t>
  </si>
  <si>
    <t>SMM</t>
  </si>
  <si>
    <t>MOKA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</si>
</sst>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top"/>
    </xf>
    <xf numFmtId="0" fontId="4" fillId="8" borderId="1" xfId="0" applyNumberFormat="1" applyFont="1" applyFill="1" applyBorder="1" applyAlignment="1">
      <alignment horizontal="left" vertical="center"/>
    </xf>
    <xf numFmtId="3" fontId="4" fillId="8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4" fillId="2" borderId="1" xfId="0" applyNumberFormat="1" applyFont="1" applyFill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3" fontId="5" fillId="9" borderId="1" xfId="0" applyNumberFormat="1" applyFont="1" applyFill="1" applyBorder="1" applyAlignment="1">
      <alignment horizontal="right" vertical="center"/>
    </xf>
    <xf numFmtId="0" fontId="0" fillId="0" borderId="3" xfId="0" applyBorder="1"/>
    <xf numFmtId="0" fontId="4" fillId="8" borderId="3" xfId="0" applyFont="1" applyFill="1" applyBorder="1" applyAlignment="1">
      <alignment vertical="top"/>
    </xf>
    <xf numFmtId="0" fontId="0" fillId="0" borderId="2" xfId="0" applyBorder="1" applyAlignment="1"/>
    <xf numFmtId="0" fontId="4" fillId="8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activeCell="L11" sqref="L11"/>
    </sheetView>
  </sheetViews>
  <sheetFormatPr defaultRowHeight="15" x14ac:dyDescent="0.25"/>
  <cols>
    <col min="1" max="1" width="13" customWidth="1"/>
    <col min="2" max="2" width="4.7109375" customWidth="1"/>
    <col min="3" max="3" width="7.42578125" customWidth="1"/>
    <col min="4" max="4" width="12.5703125" bestFit="1" customWidth="1"/>
    <col min="5" max="6" width="13" customWidth="1"/>
    <col min="7" max="7" width="8.140625" customWidth="1"/>
  </cols>
  <sheetData>
    <row r="1" spans="1:7" ht="18.75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4" t="s">
        <v>2</v>
      </c>
    </row>
    <row r="4" spans="1:7" x14ac:dyDescent="0.25">
      <c r="A4" s="4" t="s">
        <v>3</v>
      </c>
      <c r="B4" s="5" t="s">
        <v>4</v>
      </c>
      <c r="C4" s="6" t="s">
        <v>5</v>
      </c>
      <c r="D4" s="7" t="s">
        <v>6</v>
      </c>
      <c r="E4" s="4" t="s">
        <v>7</v>
      </c>
      <c r="F4" s="4" t="s">
        <v>8</v>
      </c>
      <c r="G4" s="4" t="s">
        <v>9</v>
      </c>
    </row>
    <row r="5" spans="1:7" x14ac:dyDescent="0.25">
      <c r="A5" s="8" t="s">
        <v>10</v>
      </c>
      <c r="B5" s="9">
        <v>55</v>
      </c>
      <c r="C5" s="10">
        <v>3459.6680000000001</v>
      </c>
      <c r="D5" s="10">
        <v>780.2</v>
      </c>
      <c r="E5" s="10">
        <v>102547.356</v>
      </c>
      <c r="F5" s="10">
        <v>106787.224</v>
      </c>
      <c r="G5" s="10">
        <v>42</v>
      </c>
    </row>
    <row r="6" spans="1:7" x14ac:dyDescent="0.25">
      <c r="A6" s="11"/>
      <c r="B6" s="12">
        <v>75</v>
      </c>
      <c r="C6" s="13">
        <v>127.634</v>
      </c>
      <c r="D6" s="13">
        <v>25.2</v>
      </c>
      <c r="E6" s="13">
        <v>21748.398000000001</v>
      </c>
      <c r="F6" s="13">
        <v>21901.232</v>
      </c>
      <c r="G6" s="13">
        <v>4</v>
      </c>
    </row>
    <row r="7" spans="1:7" x14ac:dyDescent="0.25">
      <c r="A7" s="14" t="s">
        <v>11</v>
      </c>
      <c r="B7" s="15"/>
      <c r="C7" s="16">
        <f>SUM(C5:C6)</f>
        <v>3587.3020000000001</v>
      </c>
      <c r="D7" s="16">
        <f t="shared" ref="D7:G7" si="0">SUM(D5:D6)</f>
        <v>805.40000000000009</v>
      </c>
      <c r="E7" s="16">
        <f t="shared" si="0"/>
        <v>124295.754</v>
      </c>
      <c r="F7" s="16">
        <f t="shared" si="0"/>
        <v>128688.45600000001</v>
      </c>
      <c r="G7" s="16">
        <f t="shared" si="0"/>
        <v>46</v>
      </c>
    </row>
    <row r="9" spans="1:7" x14ac:dyDescent="0.25">
      <c r="A9" s="4" t="s">
        <v>12</v>
      </c>
    </row>
    <row r="10" spans="1:7" x14ac:dyDescent="0.25">
      <c r="A10" s="4" t="s">
        <v>3</v>
      </c>
      <c r="B10" s="5" t="s">
        <v>4</v>
      </c>
      <c r="C10" s="6" t="s">
        <v>5</v>
      </c>
      <c r="D10" s="7" t="s">
        <v>6</v>
      </c>
      <c r="E10" s="4" t="s">
        <v>7</v>
      </c>
      <c r="F10" s="4" t="s">
        <v>8</v>
      </c>
      <c r="G10" s="4" t="s">
        <v>9</v>
      </c>
    </row>
    <row r="11" spans="1:7" x14ac:dyDescent="0.25">
      <c r="A11" s="8" t="s">
        <v>10</v>
      </c>
      <c r="B11" s="9">
        <v>65</v>
      </c>
      <c r="C11" s="10">
        <v>695.23199999999997</v>
      </c>
      <c r="D11" s="10">
        <v>114.2</v>
      </c>
      <c r="E11" s="10">
        <v>26482.66</v>
      </c>
      <c r="F11" s="10">
        <v>27292.092000000001</v>
      </c>
      <c r="G11" s="10">
        <v>6</v>
      </c>
    </row>
    <row r="12" spans="1:7" x14ac:dyDescent="0.25">
      <c r="A12" s="17"/>
      <c r="B12" s="12">
        <v>45</v>
      </c>
      <c r="C12" s="13">
        <v>34.036000000000001</v>
      </c>
      <c r="D12" s="13">
        <v>21</v>
      </c>
      <c r="E12" s="13">
        <v>2403.1759999999999</v>
      </c>
      <c r="F12" s="13">
        <v>2458.212</v>
      </c>
      <c r="G12" s="13">
        <v>1</v>
      </c>
    </row>
    <row r="13" spans="1:7" x14ac:dyDescent="0.25">
      <c r="A13" s="18"/>
      <c r="B13" s="9">
        <v>50</v>
      </c>
      <c r="C13" s="10">
        <v>42.545000000000002</v>
      </c>
      <c r="D13" s="10">
        <v>21</v>
      </c>
      <c r="E13" s="10">
        <v>1529.271</v>
      </c>
      <c r="F13" s="10">
        <v>1592.816</v>
      </c>
      <c r="G13" s="10">
        <v>1</v>
      </c>
    </row>
    <row r="14" spans="1:7" x14ac:dyDescent="0.25">
      <c r="A14" s="19"/>
      <c r="B14" s="12">
        <v>60</v>
      </c>
      <c r="C14" s="13">
        <v>297.81200000000001</v>
      </c>
      <c r="D14" s="13">
        <v>163.80000000000001</v>
      </c>
      <c r="E14" s="13">
        <v>5.0000000000000001E-3</v>
      </c>
      <c r="F14" s="13">
        <v>461.61700000000002</v>
      </c>
      <c r="G14" s="13">
        <v>5</v>
      </c>
    </row>
    <row r="15" spans="1:7" x14ac:dyDescent="0.25">
      <c r="A15" s="14" t="s">
        <v>11</v>
      </c>
      <c r="B15" s="15"/>
      <c r="C15" s="16">
        <f>SUM(C11:C14)</f>
        <v>1069.625</v>
      </c>
      <c r="D15" s="16">
        <f t="shared" ref="D15:G15" si="1">SUM(D11:D14)</f>
        <v>320</v>
      </c>
      <c r="E15" s="16">
        <f t="shared" si="1"/>
        <v>30415.112000000001</v>
      </c>
      <c r="F15" s="16">
        <f t="shared" si="1"/>
        <v>31804.736999999997</v>
      </c>
      <c r="G15" s="16">
        <f t="shared" si="1"/>
        <v>13</v>
      </c>
    </row>
    <row r="17" spans="1:7" x14ac:dyDescent="0.25">
      <c r="A17" s="4" t="s">
        <v>13</v>
      </c>
    </row>
    <row r="18" spans="1:7" x14ac:dyDescent="0.25">
      <c r="A18" s="4" t="s">
        <v>3</v>
      </c>
      <c r="B18" s="5" t="s">
        <v>4</v>
      </c>
      <c r="C18" s="6" t="s">
        <v>5</v>
      </c>
      <c r="D18" s="7" t="s">
        <v>6</v>
      </c>
      <c r="E18" s="4" t="s">
        <v>7</v>
      </c>
      <c r="F18" s="4" t="s">
        <v>8</v>
      </c>
      <c r="G18" s="4" t="s">
        <v>9</v>
      </c>
    </row>
    <row r="19" spans="1:7" x14ac:dyDescent="0.25">
      <c r="A19" s="20" t="s">
        <v>10</v>
      </c>
      <c r="B19" s="9">
        <v>85</v>
      </c>
      <c r="C19" s="10">
        <v>17.018000000000001</v>
      </c>
      <c r="D19" s="10">
        <v>42</v>
      </c>
      <c r="E19" s="10">
        <v>8606.0390000000007</v>
      </c>
      <c r="F19" s="10">
        <v>8665.0570000000007</v>
      </c>
      <c r="G19" s="10">
        <v>1</v>
      </c>
    </row>
    <row r="20" spans="1:7" x14ac:dyDescent="0.25">
      <c r="A20" s="14" t="s">
        <v>11</v>
      </c>
      <c r="B20" s="15"/>
      <c r="C20" s="16">
        <f>SUM(C19:C19)</f>
        <v>17.018000000000001</v>
      </c>
      <c r="D20" s="16">
        <f>SUM(D19:D19)</f>
        <v>42</v>
      </c>
      <c r="E20" s="16">
        <f>SUM(E19:E19)</f>
        <v>8606.0390000000007</v>
      </c>
      <c r="F20" s="16">
        <f>SUM(F19:F19)</f>
        <v>8665.0570000000007</v>
      </c>
      <c r="G20" s="16">
        <f>SUM(G19:G19)</f>
        <v>1</v>
      </c>
    </row>
  </sheetData>
  <mergeCells count="4">
    <mergeCell ref="A1:G1"/>
    <mergeCell ref="A2:G2"/>
    <mergeCell ref="A5:A6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data5c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2026-08-11T07:40:30Z</dcterms:created>
  <dcterms:modified xsi:type="dcterms:W3CDTF">2026-08-11T07:41:27Z</dcterms:modified>
</cp:coreProperties>
</file>